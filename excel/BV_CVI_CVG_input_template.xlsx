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_EFLM_Westg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7" authorId="0">
      <text>
        <r>
          <rPr>
            <sz val="10"/>
            <rFont val="Arial"/>
            <family val="2"/>
          </rPr>
          <t xml:space="preserve">TEa Minimum = 1.65×(0.75×CVI) + 0.375×√(CVI²+CVG²)
Fraser/EFLM APS modeli, minimum performans kademesi.</t>
        </r>
      </text>
    </comment>
    <comment ref="F7" authorId="0">
      <text>
        <r>
          <rPr>
            <sz val="10"/>
            <rFont val="Arial"/>
            <family val="2"/>
          </rPr>
          <t xml:space="preserve">TEa Desirable = 1.65×(0.50×CVI) + 0.25×√(CVI²+CVG²)
Fraser/EFLM APS modeli, arzu edilen performans kademesi.</t>
        </r>
      </text>
    </comment>
    <comment ref="G7" authorId="0">
      <text>
        <r>
          <rPr>
            <sz val="10"/>
            <rFont val="Arial"/>
            <family val="2"/>
          </rPr>
          <t xml:space="preserve">TEa Optimal = 1.65×(0.25×CVI) + 0.125×√(CVI²+CVG²)
Fraser/EFLM APS modeli, optimal performans kademesi.</t>
        </r>
      </text>
    </comment>
  </commentList>
</comments>
</file>

<file path=xl/sharedStrings.xml><?xml version="1.0" encoding="utf-8"?>
<sst xmlns="http://schemas.openxmlformats.org/spreadsheetml/2006/main" count="46" uniqueCount="41">
  <si>
    <t xml:space="preserve">EFLM ve Westgard CVI/CVG Kaynaklı TEa Hesaplama Tablosu — Sysmex XR Hematoloji Paneli</t>
  </si>
  <si>
    <t xml:space="preserve">Sarı hücreleri doldurun: EFLM biological variation database ve Westgard.com CVI/CVG (%) değerleri. TEa sütunları otomatik hesaplanır (formül, düzenlemeyin).</t>
  </si>
  <si>
    <t xml:space="preserve">Formül (Fraser/EFLM APS modeli): Bias = k_b × √(CVI²+CVG²) ,  CVA(analitik hedef) = k_a × CVI ,  TEa = 1.65 × CVA + Bias   |   Minimum: k_a=0.75, k_b=0.375  ·  Desirable: k_a=0.50, k_b=0.25  ·  Optimal: k_a=0.25, k_b=0.125</t>
  </si>
  <si>
    <t xml:space="preserve">Renk kodu:</t>
  </si>
  <si>
    <t xml:space="preserve">Sarı = siz doldurun (CVI, CVG)</t>
  </si>
  <si>
    <t xml:space="preserve">Açık yeşil = örnek satır (silin)</t>
  </si>
  <si>
    <t xml:space="preserve">Beyaz = otomatik formül</t>
  </si>
  <si>
    <t xml:space="preserve">No.</t>
  </si>
  <si>
    <t xml:space="preserve">Analit (sizin adlandırmanız)</t>
  </si>
  <si>
    <t xml:space="preserve">EFLM (Biological Variation Database)</t>
  </si>
  <si>
    <t xml:space="preserve">Westgard.com (CVI/CVG)</t>
  </si>
  <si>
    <t xml:space="preserve">CVI
(%)</t>
  </si>
  <si>
    <t xml:space="preserve">CVG
(%)</t>
  </si>
  <si>
    <t xml:space="preserve">TEa
Minimum
(%)</t>
  </si>
  <si>
    <t xml:space="preserve">TEa
Desirable
(%)</t>
  </si>
  <si>
    <t xml:space="preserve">TEa
Optimal
(%)</t>
  </si>
  <si>
    <t xml:space="preserve">Kaynak notu
(ör. EFLM BV tablosu link/tarih)</t>
  </si>
  <si>
    <t xml:space="preserve">Kaynak notu
(ör. Westgard.com erişim tarihi)</t>
  </si>
  <si>
    <t xml:space="preserve">ÖRNEK</t>
  </si>
  <si>
    <t xml:space="preserve">Leukocytes (silin, gerçek satır değil)</t>
  </si>
  <si>
    <t xml:space="preserve">Örnek değer — EFLM BV database, erişim: gg.aa.yyyy</t>
  </si>
  <si>
    <t xml:space="preserve">Örnek değer — westgard.com/biodatabase1.htm</t>
  </si>
  <si>
    <t xml:space="preserve">Leukocytes</t>
  </si>
  <si>
    <t xml:space="preserve">Erythrocytes</t>
  </si>
  <si>
    <t xml:space="preserve">Hemoglobin</t>
  </si>
  <si>
    <t xml:space="preserve">Hematocrit</t>
  </si>
  <si>
    <t xml:space="preserve">MCV</t>
  </si>
  <si>
    <t xml:space="preserve">MCH</t>
  </si>
  <si>
    <t xml:space="preserve">MCHC</t>
  </si>
  <si>
    <t xml:space="preserve">RDW-CV</t>
  </si>
  <si>
    <t xml:space="preserve">Platelets</t>
  </si>
  <si>
    <t xml:space="preserve">Platelets-F</t>
  </si>
  <si>
    <t xml:space="preserve">MPV</t>
  </si>
  <si>
    <t xml:space="preserve">Neutrophils#</t>
  </si>
  <si>
    <t xml:space="preserve">Lymphocytes#</t>
  </si>
  <si>
    <t xml:space="preserve">Monocytes#</t>
  </si>
  <si>
    <t xml:space="preserve">Eosinophils#</t>
  </si>
  <si>
    <t xml:space="preserve">Basophils#</t>
  </si>
  <si>
    <t xml:space="preserve">Reticulocytes#</t>
  </si>
  <si>
    <t xml:space="preserve">Ret-He</t>
  </si>
  <si>
    <t xml:space="preserve">NRBC#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</si>
</sst>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375623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  <fill>
      <patternFill patternType="solid">
        <fgColor rgb="FF305496"/>
        <bgColor rgb="FF1F4E78"/>
      </patternFill>
    </fill>
    <fill>
      <patternFill patternType="solid">
        <fgColor rgb="FF1F4E78"/>
        <bgColor rgb="FF305496"/>
      </patternFill>
    </fill>
    <fill>
      <patternFill patternType="solid">
        <fgColor rgb="FF7F6000"/>
        <bgColor rgb="FF55555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26"/>
    <col collapsed="false" customWidth="true" hidden="false" outlineLevel="0" max="10" min="9" style="0" width="8"/>
    <col collapsed="false" customWidth="true" hidden="false" outlineLevel="0" max="12" min="11" style="0" width="10"/>
    <col collapsed="false" customWidth="true" hidden="false" outlineLevel="0" max="13" min="13" style="0" width="9"/>
    <col collapsed="false" customWidth="true" hidden="false" outlineLevel="0" max="14" min="14" style="0" width="2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3" t="s">
        <v>3</v>
      </c>
      <c r="B4" s="3"/>
      <c r="C4" s="4" t="s">
        <v>4</v>
      </c>
      <c r="F4" s="5" t="s">
        <v>5</v>
      </c>
      <c r="I4" s="6" t="s">
        <v>6</v>
      </c>
    </row>
    <row r="6" customFormat="false" ht="18" hidden="false" customHeight="true" outlineLevel="0" collapsed="false">
      <c r="A6" s="7" t="s">
        <v>7</v>
      </c>
      <c r="B6" s="7" t="s">
        <v>8</v>
      </c>
      <c r="C6" s="8" t="s">
        <v>9</v>
      </c>
      <c r="D6" s="8"/>
      <c r="E6" s="8"/>
      <c r="F6" s="8"/>
      <c r="G6" s="8"/>
      <c r="H6" s="8"/>
      <c r="I6" s="9" t="s">
        <v>10</v>
      </c>
      <c r="J6" s="9"/>
      <c r="K6" s="9"/>
      <c r="L6" s="9"/>
      <c r="M6" s="9"/>
      <c r="N6" s="9"/>
    </row>
    <row r="7" customFormat="false" ht="33.75" hidden="false" customHeight="true" outlineLevel="0" collapsed="false">
      <c r="A7" s="7"/>
      <c r="B7" s="7"/>
      <c r="C7" s="10" t="s">
        <v>11</v>
      </c>
      <c r="D7" s="10" t="s">
        <v>12</v>
      </c>
      <c r="E7" s="10" t="s">
        <v>13</v>
      </c>
      <c r="F7" s="10" t="s">
        <v>14</v>
      </c>
      <c r="G7" s="10" t="s">
        <v>15</v>
      </c>
      <c r="H7" s="10" t="s">
        <v>16</v>
      </c>
      <c r="I7" s="10" t="s">
        <v>11</v>
      </c>
      <c r="J7" s="10" t="s">
        <v>12</v>
      </c>
      <c r="K7" s="10" t="s">
        <v>13</v>
      </c>
      <c r="L7" s="10" t="s">
        <v>14</v>
      </c>
      <c r="M7" s="10" t="s">
        <v>15</v>
      </c>
      <c r="N7" s="10" t="s">
        <v>17</v>
      </c>
    </row>
    <row r="8" customFormat="false" ht="35.05" hidden="false" customHeight="false" outlineLevel="0" collapsed="false">
      <c r="A8" s="11" t="s">
        <v>18</v>
      </c>
      <c r="B8" s="12" t="s">
        <v>19</v>
      </c>
      <c r="C8" s="11" t="n">
        <v>10.5</v>
      </c>
      <c r="D8" s="11" t="n">
        <v>29.5</v>
      </c>
      <c r="E8" s="13" t="n">
        <f aca="false">1.65*0.75*C8+0.375*SQRT(C8^2+D8^2)</f>
        <v>24.7361012338884</v>
      </c>
      <c r="F8" s="13" t="n">
        <f aca="false">1.65*0.5*C8+0.25*SQRT(C8^2+D8^2)</f>
        <v>16.4907341559256</v>
      </c>
      <c r="G8" s="13" t="n">
        <f aca="false">1.65*0.25*C8+0.125*SQRT(C8^2+D8^2)</f>
        <v>8.24536707796279</v>
      </c>
      <c r="H8" s="12" t="s">
        <v>20</v>
      </c>
      <c r="I8" s="11" t="n">
        <v>10.8</v>
      </c>
      <c r="J8" s="11" t="n">
        <v>27.5</v>
      </c>
      <c r="K8" s="13" t="n">
        <f aca="false">1.65*0.75*I8+0.375*SQRT(I8^2+J8^2)</f>
        <v>24.4442669545417</v>
      </c>
      <c r="L8" s="13" t="n">
        <f aca="false">1.65*0.5*I8+0.25*SQRT(I8^2+J8^2)</f>
        <v>16.2961779696945</v>
      </c>
      <c r="M8" s="13" t="n">
        <f aca="false">1.65*0.25*I8+0.125*SQRT(I8^2+J8^2)</f>
        <v>8.14808898484724</v>
      </c>
      <c r="N8" s="12" t="s">
        <v>21</v>
      </c>
    </row>
    <row r="9" customFormat="false" ht="15" hidden="false" customHeight="false" outlineLevel="0" collapsed="false">
      <c r="A9" s="14" t="n">
        <v>1</v>
      </c>
      <c r="B9" s="15" t="s">
        <v>22</v>
      </c>
      <c r="C9" s="16"/>
      <c r="D9" s="16"/>
      <c r="E9" s="17" t="str">
        <f aca="false">IF(AND(C9&lt;&gt;"",D9&lt;&gt;""),1.65*0.75*C9+0.375*SQRT(C9^2+D9^2),"")</f>
        <v/>
      </c>
      <c r="F9" s="17" t="str">
        <f aca="false">IF(AND(C9&lt;&gt;"",D9&lt;&gt;""),1.65*0.5*C9+0.25*SQRT(C9^2+D9^2),"")</f>
        <v/>
      </c>
      <c r="G9" s="17" t="str">
        <f aca="false">IF(AND(C9&lt;&gt;"",D9&lt;&gt;""),1.65*0.25*C9+0.125*SQRT(C9^2+D9^2),"")</f>
        <v/>
      </c>
      <c r="H9" s="18"/>
      <c r="I9" s="16"/>
      <c r="J9" s="16"/>
      <c r="K9" s="17" t="str">
        <f aca="false">IF(AND(I9&lt;&gt;"",J9&lt;&gt;""),1.65*0.75*I9+0.375*SQRT(I9^2+J9^2),"")</f>
        <v/>
      </c>
      <c r="L9" s="17" t="str">
        <f aca="false">IF(AND(I9&lt;&gt;"",J9&lt;&gt;""),1.65*0.5*I9+0.25*SQRT(I9^2+J9^2),"")</f>
        <v/>
      </c>
      <c r="M9" s="17" t="str">
        <f aca="false">IF(AND(I9&lt;&gt;"",J9&lt;&gt;""),1.65*0.25*I9+0.125*SQRT(I9^2+J9^2),"")</f>
        <v/>
      </c>
      <c r="N9" s="18"/>
    </row>
    <row r="10" customFormat="false" ht="15" hidden="false" customHeight="false" outlineLevel="0" collapsed="false">
      <c r="A10" s="14" t="n">
        <v>2</v>
      </c>
      <c r="B10" s="15" t="s">
        <v>23</v>
      </c>
      <c r="C10" s="16"/>
      <c r="D10" s="16"/>
      <c r="E10" s="17" t="str">
        <f aca="false">IF(AND(C10&lt;&gt;"",D10&lt;&gt;""),1.65*0.75*C10+0.375*SQRT(C10^2+D10^2),"")</f>
        <v/>
      </c>
      <c r="F10" s="17" t="str">
        <f aca="false">IF(AND(C10&lt;&gt;"",D10&lt;&gt;""),1.65*0.5*C10+0.25*SQRT(C10^2+D10^2),"")</f>
        <v/>
      </c>
      <c r="G10" s="17" t="str">
        <f aca="false">IF(AND(C10&lt;&gt;"",D10&lt;&gt;""),1.65*0.25*C10+0.125*SQRT(C10^2+D10^2),"")</f>
        <v/>
      </c>
      <c r="H10" s="18"/>
      <c r="I10" s="16"/>
      <c r="J10" s="16"/>
      <c r="K10" s="17" t="str">
        <f aca="false">IF(AND(I10&lt;&gt;"",J10&lt;&gt;""),1.65*0.75*I10+0.375*SQRT(I10^2+J10^2),"")</f>
        <v/>
      </c>
      <c r="L10" s="17" t="str">
        <f aca="false">IF(AND(I10&lt;&gt;"",J10&lt;&gt;""),1.65*0.5*I10+0.25*SQRT(I10^2+J10^2),"")</f>
        <v/>
      </c>
      <c r="M10" s="17" t="str">
        <f aca="false">IF(AND(I10&lt;&gt;"",J10&lt;&gt;""),1.65*0.25*I10+0.125*SQRT(I10^2+J10^2),"")</f>
        <v/>
      </c>
      <c r="N10" s="18"/>
    </row>
    <row r="11" customFormat="false" ht="15" hidden="false" customHeight="false" outlineLevel="0" collapsed="false">
      <c r="A11" s="14" t="n">
        <v>3</v>
      </c>
      <c r="B11" s="15" t="s">
        <v>24</v>
      </c>
      <c r="C11" s="16"/>
      <c r="D11" s="16"/>
      <c r="E11" s="17" t="str">
        <f aca="false">IF(AND(C11&lt;&gt;"",D11&lt;&gt;""),1.65*0.75*C11+0.375*SQRT(C11^2+D11^2),"")</f>
        <v/>
      </c>
      <c r="F11" s="17" t="str">
        <f aca="false">IF(AND(C11&lt;&gt;"",D11&lt;&gt;""),1.65*0.5*C11+0.25*SQRT(C11^2+D11^2),"")</f>
        <v/>
      </c>
      <c r="G11" s="17" t="str">
        <f aca="false">IF(AND(C11&lt;&gt;"",D11&lt;&gt;""),1.65*0.25*C11+0.125*SQRT(C11^2+D11^2),"")</f>
        <v/>
      </c>
      <c r="H11" s="18"/>
      <c r="I11" s="16"/>
      <c r="J11" s="16"/>
      <c r="K11" s="17" t="str">
        <f aca="false">IF(AND(I11&lt;&gt;"",J11&lt;&gt;""),1.65*0.75*I11+0.375*SQRT(I11^2+J11^2),"")</f>
        <v/>
      </c>
      <c r="L11" s="17" t="str">
        <f aca="false">IF(AND(I11&lt;&gt;"",J11&lt;&gt;""),1.65*0.5*I11+0.25*SQRT(I11^2+J11^2),"")</f>
        <v/>
      </c>
      <c r="M11" s="17" t="str">
        <f aca="false">IF(AND(I11&lt;&gt;"",J11&lt;&gt;""),1.65*0.25*I11+0.125*SQRT(I11^2+J11^2),"")</f>
        <v/>
      </c>
      <c r="N11" s="18"/>
    </row>
    <row r="12" customFormat="false" ht="15" hidden="false" customHeight="false" outlineLevel="0" collapsed="false">
      <c r="A12" s="14" t="n">
        <v>4</v>
      </c>
      <c r="B12" s="15" t="s">
        <v>25</v>
      </c>
      <c r="C12" s="16"/>
      <c r="D12" s="16"/>
      <c r="E12" s="17" t="str">
        <f aca="false">IF(AND(C12&lt;&gt;"",D12&lt;&gt;""),1.65*0.75*C12+0.375*SQRT(C12^2+D12^2),"")</f>
        <v/>
      </c>
      <c r="F12" s="17" t="str">
        <f aca="false">IF(AND(C12&lt;&gt;"",D12&lt;&gt;""),1.65*0.5*C12+0.25*SQRT(C12^2+D12^2),"")</f>
        <v/>
      </c>
      <c r="G12" s="17" t="str">
        <f aca="false">IF(AND(C12&lt;&gt;"",D12&lt;&gt;""),1.65*0.25*C12+0.125*SQRT(C12^2+D12^2),"")</f>
        <v/>
      </c>
      <c r="H12" s="18"/>
      <c r="I12" s="16"/>
      <c r="J12" s="16"/>
      <c r="K12" s="17" t="str">
        <f aca="false">IF(AND(I12&lt;&gt;"",J12&lt;&gt;""),1.65*0.75*I12+0.375*SQRT(I12^2+J12^2),"")</f>
        <v/>
      </c>
      <c r="L12" s="17" t="str">
        <f aca="false">IF(AND(I12&lt;&gt;"",J12&lt;&gt;""),1.65*0.5*I12+0.25*SQRT(I12^2+J12^2),"")</f>
        <v/>
      </c>
      <c r="M12" s="17" t="str">
        <f aca="false">IF(AND(I12&lt;&gt;"",J12&lt;&gt;""),1.65*0.25*I12+0.125*SQRT(I12^2+J12^2),"")</f>
        <v/>
      </c>
      <c r="N12" s="18"/>
    </row>
    <row r="13" customFormat="false" ht="15" hidden="false" customHeight="false" outlineLevel="0" collapsed="false">
      <c r="A13" s="14" t="n">
        <v>5</v>
      </c>
      <c r="B13" s="15" t="s">
        <v>26</v>
      </c>
      <c r="C13" s="16"/>
      <c r="D13" s="16"/>
      <c r="E13" s="17" t="str">
        <f aca="false">IF(AND(C13&lt;&gt;"",D13&lt;&gt;""),1.65*0.75*C13+0.375*SQRT(C13^2+D13^2),"")</f>
        <v/>
      </c>
      <c r="F13" s="17" t="str">
        <f aca="false">IF(AND(C13&lt;&gt;"",D13&lt;&gt;""),1.65*0.5*C13+0.25*SQRT(C13^2+D13^2),"")</f>
        <v/>
      </c>
      <c r="G13" s="17" t="str">
        <f aca="false">IF(AND(C13&lt;&gt;"",D13&lt;&gt;""),1.65*0.25*C13+0.125*SQRT(C13^2+D13^2),"")</f>
        <v/>
      </c>
      <c r="H13" s="18"/>
      <c r="I13" s="16"/>
      <c r="J13" s="16"/>
      <c r="K13" s="17" t="str">
        <f aca="false">IF(AND(I13&lt;&gt;"",J13&lt;&gt;""),1.65*0.75*I13+0.375*SQRT(I13^2+J13^2),"")</f>
        <v/>
      </c>
      <c r="L13" s="17" t="str">
        <f aca="false">IF(AND(I13&lt;&gt;"",J13&lt;&gt;""),1.65*0.5*I13+0.25*SQRT(I13^2+J13^2),"")</f>
        <v/>
      </c>
      <c r="M13" s="17" t="str">
        <f aca="false">IF(AND(I13&lt;&gt;"",J13&lt;&gt;""),1.65*0.25*I13+0.125*SQRT(I13^2+J13^2),"")</f>
        <v/>
      </c>
      <c r="N13" s="18"/>
    </row>
    <row r="14" customFormat="false" ht="15" hidden="false" customHeight="false" outlineLevel="0" collapsed="false">
      <c r="A14" s="14" t="n">
        <v>6</v>
      </c>
      <c r="B14" s="15" t="s">
        <v>27</v>
      </c>
      <c r="C14" s="16"/>
      <c r="D14" s="16"/>
      <c r="E14" s="17" t="str">
        <f aca="false">IF(AND(C14&lt;&gt;"",D14&lt;&gt;""),1.65*0.75*C14+0.375*SQRT(C14^2+D14^2),"")</f>
        <v/>
      </c>
      <c r="F14" s="17" t="str">
        <f aca="false">IF(AND(C14&lt;&gt;"",D14&lt;&gt;""),1.65*0.5*C14+0.25*SQRT(C14^2+D14^2),"")</f>
        <v/>
      </c>
      <c r="G14" s="17" t="str">
        <f aca="false">IF(AND(C14&lt;&gt;"",D14&lt;&gt;""),1.65*0.25*C14+0.125*SQRT(C14^2+D14^2),"")</f>
        <v/>
      </c>
      <c r="H14" s="18"/>
      <c r="I14" s="16"/>
      <c r="J14" s="16"/>
      <c r="K14" s="17" t="str">
        <f aca="false">IF(AND(I14&lt;&gt;"",J14&lt;&gt;""),1.65*0.75*I14+0.375*SQRT(I14^2+J14^2),"")</f>
        <v/>
      </c>
      <c r="L14" s="17" t="str">
        <f aca="false">IF(AND(I14&lt;&gt;"",J14&lt;&gt;""),1.65*0.5*I14+0.25*SQRT(I14^2+J14^2),"")</f>
        <v/>
      </c>
      <c r="M14" s="17" t="str">
        <f aca="false">IF(AND(I14&lt;&gt;"",J14&lt;&gt;""),1.65*0.25*I14+0.125*SQRT(I14^2+J14^2),"")</f>
        <v/>
      </c>
      <c r="N14" s="18"/>
    </row>
    <row r="15" customFormat="false" ht="15" hidden="false" customHeight="false" outlineLevel="0" collapsed="false">
      <c r="A15" s="14" t="n">
        <v>7</v>
      </c>
      <c r="B15" s="15" t="s">
        <v>28</v>
      </c>
      <c r="C15" s="16"/>
      <c r="D15" s="16"/>
      <c r="E15" s="17" t="str">
        <f aca="false">IF(AND(C15&lt;&gt;"",D15&lt;&gt;""),1.65*0.75*C15+0.375*SQRT(C15^2+D15^2),"")</f>
        <v/>
      </c>
      <c r="F15" s="17" t="str">
        <f aca="false">IF(AND(C15&lt;&gt;"",D15&lt;&gt;""),1.65*0.5*C15+0.25*SQRT(C15^2+D15^2),"")</f>
        <v/>
      </c>
      <c r="G15" s="17" t="str">
        <f aca="false">IF(AND(C15&lt;&gt;"",D15&lt;&gt;""),1.65*0.25*C15+0.125*SQRT(C15^2+D15^2),"")</f>
        <v/>
      </c>
      <c r="H15" s="18"/>
      <c r="I15" s="16"/>
      <c r="J15" s="16"/>
      <c r="K15" s="17" t="str">
        <f aca="false">IF(AND(I15&lt;&gt;"",J15&lt;&gt;""),1.65*0.75*I15+0.375*SQRT(I15^2+J15^2),"")</f>
        <v/>
      </c>
      <c r="L15" s="17" t="str">
        <f aca="false">IF(AND(I15&lt;&gt;"",J15&lt;&gt;""),1.65*0.5*I15+0.25*SQRT(I15^2+J15^2),"")</f>
        <v/>
      </c>
      <c r="M15" s="17" t="str">
        <f aca="false">IF(AND(I15&lt;&gt;"",J15&lt;&gt;""),1.65*0.25*I15+0.125*SQRT(I15^2+J15^2),"")</f>
        <v/>
      </c>
      <c r="N15" s="18"/>
    </row>
    <row r="16" customFormat="false" ht="15" hidden="false" customHeight="false" outlineLevel="0" collapsed="false">
      <c r="A16" s="14" t="n">
        <v>8</v>
      </c>
      <c r="B16" s="15" t="s">
        <v>29</v>
      </c>
      <c r="C16" s="16"/>
      <c r="D16" s="16"/>
      <c r="E16" s="17" t="str">
        <f aca="false">IF(AND(C16&lt;&gt;"",D16&lt;&gt;""),1.65*0.75*C16+0.375*SQRT(C16^2+D16^2),"")</f>
        <v/>
      </c>
      <c r="F16" s="17" t="str">
        <f aca="false">IF(AND(C16&lt;&gt;"",D16&lt;&gt;""),1.65*0.5*C16+0.25*SQRT(C16^2+D16^2),"")</f>
        <v/>
      </c>
      <c r="G16" s="17" t="str">
        <f aca="false">IF(AND(C16&lt;&gt;"",D16&lt;&gt;""),1.65*0.25*C16+0.125*SQRT(C16^2+D16^2),"")</f>
        <v/>
      </c>
      <c r="H16" s="18"/>
      <c r="I16" s="16"/>
      <c r="J16" s="16"/>
      <c r="K16" s="17" t="str">
        <f aca="false">IF(AND(I16&lt;&gt;"",J16&lt;&gt;""),1.65*0.75*I16+0.375*SQRT(I16^2+J16^2),"")</f>
        <v/>
      </c>
      <c r="L16" s="17" t="str">
        <f aca="false">IF(AND(I16&lt;&gt;"",J16&lt;&gt;""),1.65*0.5*I16+0.25*SQRT(I16^2+J16^2),"")</f>
        <v/>
      </c>
      <c r="M16" s="17" t="str">
        <f aca="false">IF(AND(I16&lt;&gt;"",J16&lt;&gt;""),1.65*0.25*I16+0.125*SQRT(I16^2+J16^2),"")</f>
        <v/>
      </c>
      <c r="N16" s="18"/>
    </row>
    <row r="17" customFormat="false" ht="15" hidden="false" customHeight="false" outlineLevel="0" collapsed="false">
      <c r="A17" s="14" t="n">
        <v>9</v>
      </c>
      <c r="B17" s="15" t="s">
        <v>30</v>
      </c>
      <c r="C17" s="16"/>
      <c r="D17" s="16"/>
      <c r="E17" s="17" t="str">
        <f aca="false">IF(AND(C17&lt;&gt;"",D17&lt;&gt;""),1.65*0.75*C17+0.375*SQRT(C17^2+D17^2),"")</f>
        <v/>
      </c>
      <c r="F17" s="17" t="str">
        <f aca="false">IF(AND(C17&lt;&gt;"",D17&lt;&gt;""),1.65*0.5*C17+0.25*SQRT(C17^2+D17^2),"")</f>
        <v/>
      </c>
      <c r="G17" s="17" t="str">
        <f aca="false">IF(AND(C17&lt;&gt;"",D17&lt;&gt;""),1.65*0.25*C17+0.125*SQRT(C17^2+D17^2),"")</f>
        <v/>
      </c>
      <c r="H17" s="18"/>
      <c r="I17" s="16"/>
      <c r="J17" s="16"/>
      <c r="K17" s="17" t="str">
        <f aca="false">IF(AND(I17&lt;&gt;"",J17&lt;&gt;""),1.65*0.75*I17+0.375*SQRT(I17^2+J17^2),"")</f>
        <v/>
      </c>
      <c r="L17" s="17" t="str">
        <f aca="false">IF(AND(I17&lt;&gt;"",J17&lt;&gt;""),1.65*0.5*I17+0.25*SQRT(I17^2+J17^2),"")</f>
        <v/>
      </c>
      <c r="M17" s="17" t="str">
        <f aca="false">IF(AND(I17&lt;&gt;"",J17&lt;&gt;""),1.65*0.25*I17+0.125*SQRT(I17^2+J17^2),"")</f>
        <v/>
      </c>
      <c r="N17" s="18"/>
    </row>
    <row r="18" customFormat="false" ht="15" hidden="false" customHeight="false" outlineLevel="0" collapsed="false">
      <c r="A18" s="14" t="n">
        <v>10</v>
      </c>
      <c r="B18" s="15" t="s">
        <v>31</v>
      </c>
      <c r="C18" s="16"/>
      <c r="D18" s="16"/>
      <c r="E18" s="17" t="str">
        <f aca="false">IF(AND(C18&lt;&gt;"",D18&lt;&gt;""),1.65*0.75*C18+0.375*SQRT(C18^2+D18^2),"")</f>
        <v/>
      </c>
      <c r="F18" s="17" t="str">
        <f aca="false">IF(AND(C18&lt;&gt;"",D18&lt;&gt;""),1.65*0.5*C18+0.25*SQRT(C18^2+D18^2),"")</f>
        <v/>
      </c>
      <c r="G18" s="17" t="str">
        <f aca="false">IF(AND(C18&lt;&gt;"",D18&lt;&gt;""),1.65*0.25*C18+0.125*SQRT(C18^2+D18^2),"")</f>
        <v/>
      </c>
      <c r="H18" s="18"/>
      <c r="I18" s="16"/>
      <c r="J18" s="16"/>
      <c r="K18" s="17" t="str">
        <f aca="false">IF(AND(I18&lt;&gt;"",J18&lt;&gt;""),1.65*0.75*I18+0.375*SQRT(I18^2+J18^2),"")</f>
        <v/>
      </c>
      <c r="L18" s="17" t="str">
        <f aca="false">IF(AND(I18&lt;&gt;"",J18&lt;&gt;""),1.65*0.5*I18+0.25*SQRT(I18^2+J18^2),"")</f>
        <v/>
      </c>
      <c r="M18" s="17" t="str">
        <f aca="false">IF(AND(I18&lt;&gt;"",J18&lt;&gt;""),1.65*0.25*I18+0.125*SQRT(I18^2+J18^2),"")</f>
        <v/>
      </c>
      <c r="N18" s="18"/>
    </row>
    <row r="19" customFormat="false" ht="15" hidden="false" customHeight="false" outlineLevel="0" collapsed="false">
      <c r="A19" s="14" t="n">
        <v>11</v>
      </c>
      <c r="B19" s="15" t="s">
        <v>32</v>
      </c>
      <c r="C19" s="16"/>
      <c r="D19" s="16"/>
      <c r="E19" s="17" t="str">
        <f aca="false">IF(AND(C19&lt;&gt;"",D19&lt;&gt;""),1.65*0.75*C19+0.375*SQRT(C19^2+D19^2),"")</f>
        <v/>
      </c>
      <c r="F19" s="17" t="str">
        <f aca="false">IF(AND(C19&lt;&gt;"",D19&lt;&gt;""),1.65*0.5*C19+0.25*SQRT(C19^2+D19^2),"")</f>
        <v/>
      </c>
      <c r="G19" s="17" t="str">
        <f aca="false">IF(AND(C19&lt;&gt;"",D19&lt;&gt;""),1.65*0.25*C19+0.125*SQRT(C19^2+D19^2),"")</f>
        <v/>
      </c>
      <c r="H19" s="18"/>
      <c r="I19" s="16"/>
      <c r="J19" s="16"/>
      <c r="K19" s="17" t="str">
        <f aca="false">IF(AND(I19&lt;&gt;"",J19&lt;&gt;""),1.65*0.75*I19+0.375*SQRT(I19^2+J19^2),"")</f>
        <v/>
      </c>
      <c r="L19" s="17" t="str">
        <f aca="false">IF(AND(I19&lt;&gt;"",J19&lt;&gt;""),1.65*0.5*I19+0.25*SQRT(I19^2+J19^2),"")</f>
        <v/>
      </c>
      <c r="M19" s="17" t="str">
        <f aca="false">IF(AND(I19&lt;&gt;"",J19&lt;&gt;""),1.65*0.25*I19+0.125*SQRT(I19^2+J19^2),"")</f>
        <v/>
      </c>
      <c r="N19" s="18"/>
    </row>
    <row r="20" customFormat="false" ht="15" hidden="false" customHeight="false" outlineLevel="0" collapsed="false">
      <c r="A20" s="14" t="n">
        <v>12</v>
      </c>
      <c r="B20" s="15" t="s">
        <v>33</v>
      </c>
      <c r="C20" s="16"/>
      <c r="D20" s="16"/>
      <c r="E20" s="17" t="str">
        <f aca="false">IF(AND(C20&lt;&gt;"",D20&lt;&gt;""),1.65*0.75*C20+0.375*SQRT(C20^2+D20^2),"")</f>
        <v/>
      </c>
      <c r="F20" s="17" t="str">
        <f aca="false">IF(AND(C20&lt;&gt;"",D20&lt;&gt;""),1.65*0.5*C20+0.25*SQRT(C20^2+D20^2),"")</f>
        <v/>
      </c>
      <c r="G20" s="17" t="str">
        <f aca="false">IF(AND(C20&lt;&gt;"",D20&lt;&gt;""),1.65*0.25*C20+0.125*SQRT(C20^2+D20^2),"")</f>
        <v/>
      </c>
      <c r="H20" s="18"/>
      <c r="I20" s="16"/>
      <c r="J20" s="16"/>
      <c r="K20" s="17" t="str">
        <f aca="false">IF(AND(I20&lt;&gt;"",J20&lt;&gt;""),1.65*0.75*I20+0.375*SQRT(I20^2+J20^2),"")</f>
        <v/>
      </c>
      <c r="L20" s="17" t="str">
        <f aca="false">IF(AND(I20&lt;&gt;"",J20&lt;&gt;""),1.65*0.5*I20+0.25*SQRT(I20^2+J20^2),"")</f>
        <v/>
      </c>
      <c r="M20" s="17" t="str">
        <f aca="false">IF(AND(I20&lt;&gt;"",J20&lt;&gt;""),1.65*0.25*I20+0.125*SQRT(I20^2+J20^2),"")</f>
        <v/>
      </c>
      <c r="N20" s="18"/>
    </row>
    <row r="21" customFormat="false" ht="15" hidden="false" customHeight="false" outlineLevel="0" collapsed="false">
      <c r="A21" s="14" t="n">
        <v>13</v>
      </c>
      <c r="B21" s="15" t="s">
        <v>34</v>
      </c>
      <c r="C21" s="16"/>
      <c r="D21" s="16"/>
      <c r="E21" s="17" t="str">
        <f aca="false">IF(AND(C21&lt;&gt;"",D21&lt;&gt;""),1.65*0.75*C21+0.375*SQRT(C21^2+D21^2),"")</f>
        <v/>
      </c>
      <c r="F21" s="17" t="str">
        <f aca="false">IF(AND(C21&lt;&gt;"",D21&lt;&gt;""),1.65*0.5*C21+0.25*SQRT(C21^2+D21^2),"")</f>
        <v/>
      </c>
      <c r="G21" s="17" t="str">
        <f aca="false">IF(AND(C21&lt;&gt;"",D21&lt;&gt;""),1.65*0.25*C21+0.125*SQRT(C21^2+D21^2),"")</f>
        <v/>
      </c>
      <c r="H21" s="18"/>
      <c r="I21" s="16"/>
      <c r="J21" s="16"/>
      <c r="K21" s="17" t="str">
        <f aca="false">IF(AND(I21&lt;&gt;"",J21&lt;&gt;""),1.65*0.75*I21+0.375*SQRT(I21^2+J21^2),"")</f>
        <v/>
      </c>
      <c r="L21" s="17" t="str">
        <f aca="false">IF(AND(I21&lt;&gt;"",J21&lt;&gt;""),1.65*0.5*I21+0.25*SQRT(I21^2+J21^2),"")</f>
        <v/>
      </c>
      <c r="M21" s="17" t="str">
        <f aca="false">IF(AND(I21&lt;&gt;"",J21&lt;&gt;""),1.65*0.25*I21+0.125*SQRT(I21^2+J21^2),"")</f>
        <v/>
      </c>
      <c r="N21" s="18"/>
    </row>
    <row r="22" customFormat="false" ht="15" hidden="false" customHeight="false" outlineLevel="0" collapsed="false">
      <c r="A22" s="14" t="n">
        <v>14</v>
      </c>
      <c r="B22" s="15" t="s">
        <v>35</v>
      </c>
      <c r="C22" s="16"/>
      <c r="D22" s="16"/>
      <c r="E22" s="17" t="str">
        <f aca="false">IF(AND(C22&lt;&gt;"",D22&lt;&gt;""),1.65*0.75*C22+0.375*SQRT(C22^2+D22^2),"")</f>
        <v/>
      </c>
      <c r="F22" s="17" t="str">
        <f aca="false">IF(AND(C22&lt;&gt;"",D22&lt;&gt;""),1.65*0.5*C22+0.25*SQRT(C22^2+D22^2),"")</f>
        <v/>
      </c>
      <c r="G22" s="17" t="str">
        <f aca="false">IF(AND(C22&lt;&gt;"",D22&lt;&gt;""),1.65*0.25*C22+0.125*SQRT(C22^2+D22^2),"")</f>
        <v/>
      </c>
      <c r="H22" s="18"/>
      <c r="I22" s="16"/>
      <c r="J22" s="16"/>
      <c r="K22" s="17" t="str">
        <f aca="false">IF(AND(I22&lt;&gt;"",J22&lt;&gt;""),1.65*0.75*I22+0.375*SQRT(I22^2+J22^2),"")</f>
        <v/>
      </c>
      <c r="L22" s="17" t="str">
        <f aca="false">IF(AND(I22&lt;&gt;"",J22&lt;&gt;""),1.65*0.5*I22+0.25*SQRT(I22^2+J22^2),"")</f>
        <v/>
      </c>
      <c r="M22" s="17" t="str">
        <f aca="false">IF(AND(I22&lt;&gt;"",J22&lt;&gt;""),1.65*0.25*I22+0.125*SQRT(I22^2+J22^2),"")</f>
        <v/>
      </c>
      <c r="N22" s="18"/>
    </row>
    <row r="23" customFormat="false" ht="15" hidden="false" customHeight="false" outlineLevel="0" collapsed="false">
      <c r="A23" s="14" t="n">
        <v>15</v>
      </c>
      <c r="B23" s="15" t="s">
        <v>36</v>
      </c>
      <c r="C23" s="16"/>
      <c r="D23" s="16"/>
      <c r="E23" s="17" t="str">
        <f aca="false">IF(AND(C23&lt;&gt;"",D23&lt;&gt;""),1.65*0.75*C23+0.375*SQRT(C23^2+D23^2),"")</f>
        <v/>
      </c>
      <c r="F23" s="17" t="str">
        <f aca="false">IF(AND(C23&lt;&gt;"",D23&lt;&gt;""),1.65*0.5*C23+0.25*SQRT(C23^2+D23^2),"")</f>
        <v/>
      </c>
      <c r="G23" s="17" t="str">
        <f aca="false">IF(AND(C23&lt;&gt;"",D23&lt;&gt;""),1.65*0.25*C23+0.125*SQRT(C23^2+D23^2),"")</f>
        <v/>
      </c>
      <c r="H23" s="18"/>
      <c r="I23" s="16"/>
      <c r="J23" s="16"/>
      <c r="K23" s="17" t="str">
        <f aca="false">IF(AND(I23&lt;&gt;"",J23&lt;&gt;""),1.65*0.75*I23+0.375*SQRT(I23^2+J23^2),"")</f>
        <v/>
      </c>
      <c r="L23" s="17" t="str">
        <f aca="false">IF(AND(I23&lt;&gt;"",J23&lt;&gt;""),1.65*0.5*I23+0.25*SQRT(I23^2+J23^2),"")</f>
        <v/>
      </c>
      <c r="M23" s="17" t="str">
        <f aca="false">IF(AND(I23&lt;&gt;"",J23&lt;&gt;""),1.65*0.25*I23+0.125*SQRT(I23^2+J23^2),"")</f>
        <v/>
      </c>
      <c r="N23" s="18"/>
    </row>
    <row r="24" customFormat="false" ht="15" hidden="false" customHeight="false" outlineLevel="0" collapsed="false">
      <c r="A24" s="14" t="n">
        <v>16</v>
      </c>
      <c r="B24" s="15" t="s">
        <v>37</v>
      </c>
      <c r="C24" s="16"/>
      <c r="D24" s="16"/>
      <c r="E24" s="17" t="str">
        <f aca="false">IF(AND(C24&lt;&gt;"",D24&lt;&gt;""),1.65*0.75*C24+0.375*SQRT(C24^2+D24^2),"")</f>
        <v/>
      </c>
      <c r="F24" s="17" t="str">
        <f aca="false">IF(AND(C24&lt;&gt;"",D24&lt;&gt;""),1.65*0.5*C24+0.25*SQRT(C24^2+D24^2),"")</f>
        <v/>
      </c>
      <c r="G24" s="17" t="str">
        <f aca="false">IF(AND(C24&lt;&gt;"",D24&lt;&gt;""),1.65*0.25*C24+0.125*SQRT(C24^2+D24^2),"")</f>
        <v/>
      </c>
      <c r="H24" s="18"/>
      <c r="I24" s="16"/>
      <c r="J24" s="16"/>
      <c r="K24" s="17" t="str">
        <f aca="false">IF(AND(I24&lt;&gt;"",J24&lt;&gt;""),1.65*0.75*I24+0.375*SQRT(I24^2+J24^2),"")</f>
        <v/>
      </c>
      <c r="L24" s="17" t="str">
        <f aca="false">IF(AND(I24&lt;&gt;"",J24&lt;&gt;""),1.65*0.5*I24+0.25*SQRT(I24^2+J24^2),"")</f>
        <v/>
      </c>
      <c r="M24" s="17" t="str">
        <f aca="false">IF(AND(I24&lt;&gt;"",J24&lt;&gt;""),1.65*0.25*I24+0.125*SQRT(I24^2+J24^2),"")</f>
        <v/>
      </c>
      <c r="N24" s="18"/>
    </row>
    <row r="25" customFormat="false" ht="15" hidden="false" customHeight="false" outlineLevel="0" collapsed="false">
      <c r="A25" s="14" t="n">
        <v>17</v>
      </c>
      <c r="B25" s="15" t="s">
        <v>38</v>
      </c>
      <c r="C25" s="16"/>
      <c r="D25" s="16"/>
      <c r="E25" s="17" t="str">
        <f aca="false">IF(AND(C25&lt;&gt;"",D25&lt;&gt;""),1.65*0.75*C25+0.375*SQRT(C25^2+D25^2),"")</f>
        <v/>
      </c>
      <c r="F25" s="17" t="str">
        <f aca="false">IF(AND(C25&lt;&gt;"",D25&lt;&gt;""),1.65*0.5*C25+0.25*SQRT(C25^2+D25^2),"")</f>
        <v/>
      </c>
      <c r="G25" s="17" t="str">
        <f aca="false">IF(AND(C25&lt;&gt;"",D25&lt;&gt;""),1.65*0.25*C25+0.125*SQRT(C25^2+D25^2),"")</f>
        <v/>
      </c>
      <c r="H25" s="18"/>
      <c r="I25" s="16"/>
      <c r="J25" s="16"/>
      <c r="K25" s="17" t="str">
        <f aca="false">IF(AND(I25&lt;&gt;"",J25&lt;&gt;""),1.65*0.75*I25+0.375*SQRT(I25^2+J25^2),"")</f>
        <v/>
      </c>
      <c r="L25" s="17" t="str">
        <f aca="false">IF(AND(I25&lt;&gt;"",J25&lt;&gt;""),1.65*0.5*I25+0.25*SQRT(I25^2+J25^2),"")</f>
        <v/>
      </c>
      <c r="M25" s="17" t="str">
        <f aca="false">IF(AND(I25&lt;&gt;"",J25&lt;&gt;""),1.65*0.25*I25+0.125*SQRT(I25^2+J25^2),"")</f>
        <v/>
      </c>
      <c r="N25" s="18"/>
    </row>
    <row r="26" customFormat="false" ht="15" hidden="false" customHeight="false" outlineLevel="0" collapsed="false">
      <c r="A26" s="14" t="n">
        <v>18</v>
      </c>
      <c r="B26" s="15" t="s">
        <v>39</v>
      </c>
      <c r="C26" s="16"/>
      <c r="D26" s="16"/>
      <c r="E26" s="17" t="str">
        <f aca="false">IF(AND(C26&lt;&gt;"",D26&lt;&gt;""),1.65*0.75*C26+0.375*SQRT(C26^2+D26^2),"")</f>
        <v/>
      </c>
      <c r="F26" s="17" t="str">
        <f aca="false">IF(AND(C26&lt;&gt;"",D26&lt;&gt;""),1.65*0.5*C26+0.25*SQRT(C26^2+D26^2),"")</f>
        <v/>
      </c>
      <c r="G26" s="17" t="str">
        <f aca="false">IF(AND(C26&lt;&gt;"",D26&lt;&gt;""),1.65*0.25*C26+0.125*SQRT(C26^2+D26^2),"")</f>
        <v/>
      </c>
      <c r="H26" s="18"/>
      <c r="I26" s="16"/>
      <c r="J26" s="16"/>
      <c r="K26" s="17" t="str">
        <f aca="false">IF(AND(I26&lt;&gt;"",J26&lt;&gt;""),1.65*0.75*I26+0.375*SQRT(I26^2+J26^2),"")</f>
        <v/>
      </c>
      <c r="L26" s="17" t="str">
        <f aca="false">IF(AND(I26&lt;&gt;"",J26&lt;&gt;""),1.65*0.5*I26+0.25*SQRT(I26^2+J26^2),"")</f>
        <v/>
      </c>
      <c r="M26" s="17" t="str">
        <f aca="false">IF(AND(I26&lt;&gt;"",J26&lt;&gt;""),1.65*0.25*I26+0.125*SQRT(I26^2+J26^2),"")</f>
        <v/>
      </c>
      <c r="N26" s="18"/>
    </row>
    <row r="27" customFormat="false" ht="15" hidden="false" customHeight="false" outlineLevel="0" collapsed="false">
      <c r="A27" s="14" t="n">
        <v>19</v>
      </c>
      <c r="B27" s="15" t="s">
        <v>40</v>
      </c>
      <c r="C27" s="16"/>
      <c r="D27" s="16"/>
      <c r="E27" s="17" t="str">
        <f aca="false">IF(AND(C27&lt;&gt;"",D27&lt;&gt;""),1.65*0.75*C27+0.375*SQRT(C27^2+D27^2),"")</f>
        <v/>
      </c>
      <c r="F27" s="17" t="str">
        <f aca="false">IF(AND(C27&lt;&gt;"",D27&lt;&gt;""),1.65*0.5*C27+0.25*SQRT(C27^2+D27^2),"")</f>
        <v/>
      </c>
      <c r="G27" s="17" t="str">
        <f aca="false">IF(AND(C27&lt;&gt;"",D27&lt;&gt;""),1.65*0.25*C27+0.125*SQRT(C27^2+D27^2),"")</f>
        <v/>
      </c>
      <c r="H27" s="18"/>
      <c r="I27" s="16"/>
      <c r="J27" s="16"/>
      <c r="K27" s="17" t="str">
        <f aca="false">IF(AND(I27&lt;&gt;"",J27&lt;&gt;""),1.65*0.75*I27+0.375*SQRT(I27^2+J27^2),"")</f>
        <v/>
      </c>
      <c r="L27" s="17" t="str">
        <f aca="false">IF(AND(I27&lt;&gt;"",J27&lt;&gt;""),1.65*0.5*I27+0.25*SQRT(I27^2+J27^2),"")</f>
        <v/>
      </c>
      <c r="M27" s="17" t="str">
        <f aca="false">IF(AND(I27&lt;&gt;"",J27&lt;&gt;""),1.65*0.25*I27+0.125*SQRT(I27^2+J27^2),"")</f>
        <v/>
      </c>
      <c r="N27" s="18"/>
    </row>
  </sheetData>
  <mergeCells count="8">
    <mergeCell ref="A1:M1"/>
    <mergeCell ref="A2:M2"/>
    <mergeCell ref="A3:M3"/>
    <mergeCell ref="A4:B4"/>
    <mergeCell ref="A6:A7"/>
    <mergeCell ref="B6:B7"/>
    <mergeCell ref="C6:H6"/>
    <mergeCell ref="I6:N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2026-09-09T11:47:10Z</dcterms:created>
  <dc:creator>openpyxl</dc:creator>
  <dc:description/>
  <dc:language>en-US</dc:language>
  <cp:lastModifiedBy/>
  <dcterms:modified xsi:type="dcterms:W3CDTF">2026-09-09T11:47:10Z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