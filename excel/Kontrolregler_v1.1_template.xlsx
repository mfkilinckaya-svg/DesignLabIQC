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lsemidtno-my.sharepoint.com/personal/muhammed_fevzi_kilinckaya_helse-mr_no/Documents/MKilinckaya/Turkiye Kongreler ve Yazilar/Biochemica Media_IKK/"/>
    </mc:Choice>
  </mc:AlternateContent>
  <xr:revisionPtr revIDLastSave="6" documentId="13_ncr:1_{31996FFF-741A-4770-BDAE-7000E012F88A}" xr6:coauthVersionLast="47" xr6:coauthVersionMax="47" xr10:uidLastSave="{59CEDD19-52D7-4229-82DE-87BD6914E4C3}"/>
  <bookViews>
    <workbookView xWindow="5070" yWindow="0" windowWidth="44280" windowHeight="20880" xr2:uid="{00000000-000D-0000-FFFF-FFFF00000000}"/>
  </bookViews>
  <sheets>
    <sheet name="Ver1.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2" l="1"/>
  <c r="F47" i="2"/>
  <c r="F45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9" i="2"/>
  <c r="F7" i="2"/>
  <c r="F8" i="2"/>
  <c r="P83" i="2" l="1"/>
  <c r="P82" i="2"/>
  <c r="P77" i="2"/>
  <c r="P76" i="2"/>
  <c r="P75" i="2"/>
  <c r="P74" i="2"/>
  <c r="P73" i="2"/>
  <c r="P72" i="2"/>
  <c r="P71" i="2"/>
  <c r="P70" i="2"/>
  <c r="P69" i="2"/>
  <c r="P67" i="2"/>
  <c r="P68" i="2"/>
  <c r="P66" i="2"/>
  <c r="P64" i="2"/>
  <c r="P65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0" i="2"/>
  <c r="P41" i="2"/>
  <c r="P39" i="2"/>
  <c r="P37" i="2"/>
  <c r="P38" i="2"/>
  <c r="P36" i="2"/>
  <c r="P34" i="2"/>
  <c r="P35" i="2"/>
  <c r="P33" i="2"/>
  <c r="P32" i="2"/>
  <c r="P31" i="2"/>
  <c r="P30" i="2"/>
  <c r="P24" i="2"/>
  <c r="P25" i="2"/>
  <c r="P26" i="2"/>
  <c r="P23" i="2"/>
  <c r="P22" i="2"/>
  <c r="P21" i="2"/>
  <c r="P19" i="2"/>
  <c r="P20" i="2"/>
  <c r="P18" i="2"/>
  <c r="P13" i="2"/>
  <c r="P14" i="2"/>
  <c r="P12" i="2"/>
  <c r="P11" i="2"/>
  <c r="P10" i="2"/>
  <c r="P9" i="2"/>
  <c r="P8" i="2"/>
  <c r="P7" i="2"/>
  <c r="P80" i="2"/>
  <c r="P79" i="2"/>
  <c r="P78" i="2"/>
  <c r="P29" i="2"/>
  <c r="P28" i="2"/>
  <c r="P27" i="2"/>
  <c r="P17" i="2"/>
  <c r="P16" i="2"/>
  <c r="P15" i="2"/>
  <c r="P6" i="2"/>
  <c r="O6" i="2"/>
  <c r="R6" i="2" s="1"/>
  <c r="O7" i="2"/>
  <c r="R7" i="2" s="1"/>
  <c r="O8" i="2"/>
  <c r="R8" i="2" s="1"/>
  <c r="O9" i="2"/>
  <c r="R9" i="2" s="1"/>
  <c r="O10" i="2"/>
  <c r="R10" i="2" s="1"/>
  <c r="O11" i="2"/>
  <c r="R11" i="2" s="1"/>
  <c r="O12" i="2"/>
  <c r="R12" i="2" s="1"/>
  <c r="O13" i="2"/>
  <c r="R13" i="2" s="1"/>
  <c r="O14" i="2"/>
  <c r="R14" i="2" s="1"/>
  <c r="O15" i="2"/>
  <c r="R15" i="2" s="1"/>
  <c r="O16" i="2"/>
  <c r="R16" i="2" s="1"/>
  <c r="O17" i="2"/>
  <c r="R17" i="2" s="1"/>
  <c r="O18" i="2"/>
  <c r="R18" i="2" s="1"/>
  <c r="F41" i="2" l="1"/>
  <c r="F40" i="2"/>
  <c r="F39" i="2"/>
  <c r="F35" i="2"/>
  <c r="F34" i="2"/>
  <c r="K69" i="2"/>
  <c r="K70" i="2"/>
  <c r="K71" i="2"/>
  <c r="K72" i="2"/>
  <c r="K73" i="2"/>
  <c r="K74" i="2"/>
  <c r="K75" i="2"/>
  <c r="K76" i="2"/>
  <c r="K77" i="2"/>
  <c r="K78" i="2"/>
  <c r="K79" i="2"/>
  <c r="K80" i="2"/>
  <c r="K57" i="2"/>
  <c r="K58" i="2"/>
  <c r="K59" i="2"/>
  <c r="K60" i="2"/>
  <c r="K61" i="2"/>
  <c r="K62" i="2"/>
  <c r="K63" i="2"/>
  <c r="K64" i="2"/>
  <c r="K65" i="2"/>
  <c r="K48" i="2"/>
  <c r="K49" i="2"/>
  <c r="K50" i="2"/>
  <c r="K51" i="2"/>
  <c r="K52" i="2"/>
  <c r="K53" i="2"/>
  <c r="K39" i="2"/>
  <c r="K40" i="2"/>
  <c r="K41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M72" i="2" l="1"/>
  <c r="M75" i="2"/>
  <c r="M21" i="2"/>
  <c r="M78" i="2"/>
  <c r="M24" i="2"/>
  <c r="M33" i="2"/>
  <c r="M30" i="2"/>
  <c r="M69" i="2"/>
  <c r="M63" i="2"/>
  <c r="M60" i="2"/>
  <c r="M51" i="2"/>
  <c r="M57" i="2"/>
  <c r="M39" i="2"/>
  <c r="M48" i="2"/>
  <c r="M27" i="2"/>
  <c r="F78" i="2"/>
  <c r="F33" i="2" l="1"/>
  <c r="F69" i="2"/>
  <c r="F70" i="2"/>
  <c r="F71" i="2"/>
  <c r="F72" i="2"/>
  <c r="F73" i="2"/>
  <c r="F74" i="2"/>
  <c r="F75" i="2"/>
  <c r="F76" i="2"/>
  <c r="F77" i="2"/>
  <c r="F79" i="2"/>
  <c r="F80" i="2"/>
  <c r="F32" i="2"/>
  <c r="F31" i="2"/>
  <c r="F30" i="2"/>
  <c r="F61" i="2" l="1"/>
  <c r="F62" i="2"/>
  <c r="F63" i="2"/>
  <c r="F64" i="2"/>
  <c r="F65" i="2"/>
  <c r="F60" i="2" l="1"/>
  <c r="F58" i="2"/>
  <c r="F59" i="2"/>
  <c r="F57" i="2"/>
  <c r="F51" i="2"/>
  <c r="F52" i="2"/>
  <c r="F53" i="2"/>
  <c r="F48" i="2"/>
  <c r="F49" i="2"/>
  <c r="F50" i="2"/>
  <c r="H21" i="2" l="1"/>
  <c r="L21" i="2" s="1"/>
  <c r="H22" i="2"/>
  <c r="L22" i="2" s="1"/>
  <c r="H23" i="2"/>
  <c r="L23" i="2" s="1"/>
  <c r="H24" i="2"/>
  <c r="L24" i="2" s="1"/>
  <c r="H25" i="2"/>
  <c r="L25" i="2" s="1"/>
  <c r="H26" i="2"/>
  <c r="L26" i="2" s="1"/>
  <c r="H27" i="2"/>
  <c r="L27" i="2" s="1"/>
  <c r="H28" i="2"/>
  <c r="L28" i="2" s="1"/>
  <c r="H29" i="2"/>
  <c r="L29" i="2" s="1"/>
  <c r="H30" i="2"/>
  <c r="L30" i="2" s="1"/>
  <c r="H31" i="2"/>
  <c r="L31" i="2" s="1"/>
  <c r="H32" i="2"/>
  <c r="L32" i="2" s="1"/>
  <c r="H33" i="2"/>
  <c r="L33" i="2" s="1"/>
  <c r="H34" i="2"/>
  <c r="L34" i="2" s="1"/>
  <c r="H35" i="2"/>
  <c r="L35" i="2" s="1"/>
  <c r="H39" i="2"/>
  <c r="L39" i="2" s="1"/>
  <c r="H40" i="2"/>
  <c r="L40" i="2" s="1"/>
  <c r="H41" i="2"/>
  <c r="L41" i="2" s="1"/>
  <c r="H48" i="2"/>
  <c r="L48" i="2" s="1"/>
  <c r="H49" i="2"/>
  <c r="L49" i="2" s="1"/>
  <c r="H50" i="2"/>
  <c r="L50" i="2" s="1"/>
  <c r="H51" i="2"/>
  <c r="L51" i="2" s="1"/>
  <c r="H52" i="2"/>
  <c r="L52" i="2" s="1"/>
  <c r="H53" i="2"/>
  <c r="L53" i="2" s="1"/>
  <c r="H57" i="2"/>
  <c r="L57" i="2" s="1"/>
  <c r="H58" i="2"/>
  <c r="L58" i="2" s="1"/>
  <c r="H59" i="2"/>
  <c r="L59" i="2" s="1"/>
  <c r="H60" i="2"/>
  <c r="L60" i="2" s="1"/>
  <c r="H61" i="2"/>
  <c r="L61" i="2" s="1"/>
  <c r="H62" i="2"/>
  <c r="L62" i="2" s="1"/>
  <c r="H63" i="2"/>
  <c r="L63" i="2" s="1"/>
  <c r="H64" i="2"/>
  <c r="L64" i="2" s="1"/>
  <c r="H65" i="2"/>
  <c r="L65" i="2" s="1"/>
  <c r="H69" i="2"/>
  <c r="L69" i="2" s="1"/>
  <c r="H70" i="2"/>
  <c r="L70" i="2" s="1"/>
  <c r="H71" i="2"/>
  <c r="L71" i="2" s="1"/>
  <c r="H72" i="2"/>
  <c r="L72" i="2" s="1"/>
  <c r="H73" i="2"/>
  <c r="L73" i="2" s="1"/>
  <c r="H74" i="2"/>
  <c r="L74" i="2" s="1"/>
  <c r="H75" i="2"/>
  <c r="L75" i="2" s="1"/>
  <c r="H76" i="2"/>
  <c r="L76" i="2" s="1"/>
  <c r="H77" i="2"/>
  <c r="L77" i="2" s="1"/>
  <c r="H78" i="2"/>
  <c r="L78" i="2" s="1"/>
  <c r="H79" i="2"/>
  <c r="L79" i="2" s="1"/>
  <c r="H80" i="2"/>
  <c r="L80" i="2" s="1"/>
  <c r="O19" i="2"/>
  <c r="R19" i="2" s="1"/>
  <c r="O20" i="2"/>
  <c r="R20" i="2" s="1"/>
  <c r="O21" i="2"/>
  <c r="R21" i="2" s="1"/>
  <c r="O22" i="2"/>
  <c r="R22" i="2" s="1"/>
  <c r="O23" i="2"/>
  <c r="R23" i="2" s="1"/>
  <c r="O24" i="2"/>
  <c r="R24" i="2" s="1"/>
  <c r="O25" i="2"/>
  <c r="R25" i="2" s="1"/>
  <c r="O26" i="2"/>
  <c r="R26" i="2" s="1"/>
  <c r="O27" i="2"/>
  <c r="R27" i="2" s="1"/>
  <c r="O28" i="2"/>
  <c r="R28" i="2" s="1"/>
  <c r="O29" i="2"/>
  <c r="R29" i="2" s="1"/>
  <c r="O30" i="2"/>
  <c r="R30" i="2" s="1"/>
  <c r="O31" i="2"/>
  <c r="R31" i="2" s="1"/>
  <c r="O32" i="2"/>
  <c r="R32" i="2" s="1"/>
  <c r="O33" i="2"/>
  <c r="R33" i="2" s="1"/>
  <c r="O34" i="2"/>
  <c r="R34" i="2" s="1"/>
  <c r="O35" i="2"/>
  <c r="R35" i="2" s="1"/>
  <c r="O36" i="2"/>
  <c r="R36" i="2" s="1"/>
  <c r="O37" i="2"/>
  <c r="R37" i="2" s="1"/>
  <c r="O38" i="2"/>
  <c r="R38" i="2" s="1"/>
  <c r="O39" i="2"/>
  <c r="R39" i="2" s="1"/>
  <c r="O40" i="2"/>
  <c r="R40" i="2" s="1"/>
  <c r="O41" i="2"/>
  <c r="R41" i="2" s="1"/>
  <c r="O42" i="2"/>
  <c r="R42" i="2" s="1"/>
  <c r="O43" i="2"/>
  <c r="R43" i="2" s="1"/>
  <c r="O44" i="2"/>
  <c r="R44" i="2" s="1"/>
  <c r="O45" i="2"/>
  <c r="R45" i="2" s="1"/>
  <c r="O46" i="2"/>
  <c r="R46" i="2" s="1"/>
  <c r="O47" i="2"/>
  <c r="R47" i="2" s="1"/>
  <c r="O48" i="2"/>
  <c r="R48" i="2" s="1"/>
  <c r="O49" i="2"/>
  <c r="R49" i="2" s="1"/>
  <c r="O50" i="2"/>
  <c r="R50" i="2" s="1"/>
  <c r="O51" i="2"/>
  <c r="R51" i="2" s="1"/>
  <c r="O52" i="2"/>
  <c r="R52" i="2" s="1"/>
  <c r="O53" i="2"/>
  <c r="R53" i="2" s="1"/>
  <c r="O54" i="2"/>
  <c r="R54" i="2" s="1"/>
  <c r="O55" i="2"/>
  <c r="R55" i="2" s="1"/>
  <c r="O56" i="2"/>
  <c r="R56" i="2" s="1"/>
  <c r="O57" i="2"/>
  <c r="R57" i="2" s="1"/>
  <c r="O58" i="2"/>
  <c r="R58" i="2" s="1"/>
  <c r="O59" i="2"/>
  <c r="R59" i="2" s="1"/>
  <c r="O60" i="2"/>
  <c r="R60" i="2" s="1"/>
  <c r="O61" i="2"/>
  <c r="R61" i="2" s="1"/>
  <c r="O62" i="2"/>
  <c r="R62" i="2" s="1"/>
  <c r="O63" i="2"/>
  <c r="R63" i="2" s="1"/>
  <c r="O64" i="2"/>
  <c r="R64" i="2" s="1"/>
  <c r="O65" i="2"/>
  <c r="R65" i="2" s="1"/>
  <c r="O66" i="2"/>
  <c r="R66" i="2" s="1"/>
  <c r="O67" i="2"/>
  <c r="R67" i="2" s="1"/>
  <c r="O68" i="2"/>
  <c r="R68" i="2" s="1"/>
  <c r="O69" i="2"/>
  <c r="R69" i="2" s="1"/>
  <c r="O70" i="2"/>
  <c r="R70" i="2" s="1"/>
  <c r="O71" i="2"/>
  <c r="R71" i="2" s="1"/>
  <c r="O72" i="2"/>
  <c r="R72" i="2" s="1"/>
  <c r="O73" i="2"/>
  <c r="R73" i="2" s="1"/>
  <c r="O74" i="2"/>
  <c r="R74" i="2" s="1"/>
  <c r="O75" i="2"/>
  <c r="R75" i="2" s="1"/>
  <c r="O76" i="2"/>
  <c r="R76" i="2" s="1"/>
  <c r="O77" i="2"/>
  <c r="R77" i="2" s="1"/>
  <c r="O78" i="2"/>
  <c r="R78" i="2" s="1"/>
  <c r="O79" i="2"/>
  <c r="R79" i="2" s="1"/>
  <c r="O80" i="2"/>
  <c r="R80" i="2" s="1"/>
  <c r="O81" i="2"/>
  <c r="R81" i="2" s="1"/>
  <c r="O82" i="2"/>
  <c r="R82" i="2" s="1"/>
  <c r="O83" i="2"/>
  <c r="R83" i="2" s="1"/>
  <c r="N75" i="2" l="1"/>
  <c r="N30" i="2"/>
  <c r="N72" i="2"/>
  <c r="N33" i="2"/>
  <c r="N24" i="2"/>
  <c r="N78" i="2"/>
  <c r="N21" i="2"/>
  <c r="N69" i="2"/>
  <c r="N63" i="2"/>
  <c r="N60" i="2"/>
  <c r="N51" i="2"/>
  <c r="N57" i="2"/>
  <c r="N48" i="2"/>
  <c r="N27" i="2"/>
  <c r="N39" i="2"/>
  <c r="Q20" i="2"/>
  <c r="K14" i="2"/>
  <c r="H14" i="2"/>
  <c r="L14" i="2" s="1"/>
  <c r="K13" i="2"/>
  <c r="H13" i="2"/>
  <c r="L13" i="2" s="1"/>
  <c r="K12" i="2"/>
  <c r="M12" i="2" s="1"/>
  <c r="H12" i="2"/>
  <c r="L12" i="2" s="1"/>
  <c r="F81" i="2"/>
  <c r="K81" i="2"/>
  <c r="P81" i="2"/>
  <c r="F82" i="2"/>
  <c r="K82" i="2"/>
  <c r="K38" i="2"/>
  <c r="F38" i="2"/>
  <c r="K37" i="2"/>
  <c r="F37" i="2"/>
  <c r="K36" i="2"/>
  <c r="M36" i="2" s="1"/>
  <c r="F36" i="2"/>
  <c r="K17" i="2"/>
  <c r="H17" i="2"/>
  <c r="L17" i="2" s="1"/>
  <c r="K16" i="2"/>
  <c r="H16" i="2"/>
  <c r="L16" i="2" s="1"/>
  <c r="K15" i="2"/>
  <c r="H15" i="2"/>
  <c r="L15" i="2" s="1"/>
  <c r="K68" i="2"/>
  <c r="F68" i="2"/>
  <c r="K67" i="2"/>
  <c r="F67" i="2"/>
  <c r="K66" i="2"/>
  <c r="F66" i="2"/>
  <c r="K44" i="2"/>
  <c r="F44" i="2"/>
  <c r="K43" i="2"/>
  <c r="F43" i="2"/>
  <c r="K42" i="2"/>
  <c r="M42" i="2" s="1"/>
  <c r="F42" i="2"/>
  <c r="K47" i="2"/>
  <c r="K46" i="2"/>
  <c r="K45" i="2"/>
  <c r="K20" i="2"/>
  <c r="H20" i="2"/>
  <c r="L20" i="2" s="1"/>
  <c r="K19" i="2"/>
  <c r="H19" i="2"/>
  <c r="L19" i="2" s="1"/>
  <c r="K18" i="2"/>
  <c r="M18" i="2" s="1"/>
  <c r="H18" i="2"/>
  <c r="L18" i="2" s="1"/>
  <c r="K11" i="2"/>
  <c r="H11" i="2"/>
  <c r="L11" i="2" s="1"/>
  <c r="K10" i="2"/>
  <c r="H10" i="2"/>
  <c r="L10" i="2" s="1"/>
  <c r="K9" i="2"/>
  <c r="H9" i="2"/>
  <c r="L9" i="2" s="1"/>
  <c r="K56" i="2"/>
  <c r="F56" i="2"/>
  <c r="K55" i="2"/>
  <c r="F55" i="2"/>
  <c r="Q54" i="2"/>
  <c r="K54" i="2"/>
  <c r="F54" i="2"/>
  <c r="K83" i="2"/>
  <c r="F83" i="2"/>
  <c r="K8" i="2"/>
  <c r="H8" i="2"/>
  <c r="L8" i="2" s="1"/>
  <c r="K7" i="2"/>
  <c r="H7" i="2"/>
  <c r="L7" i="2" s="1"/>
  <c r="K6" i="2"/>
  <c r="M6" i="2" s="1"/>
  <c r="F6" i="2"/>
  <c r="H6" i="2" s="1"/>
  <c r="L6" i="2" s="1"/>
  <c r="M15" i="2" l="1"/>
  <c r="N12" i="2"/>
  <c r="N15" i="2"/>
  <c r="N18" i="2"/>
  <c r="N6" i="2"/>
  <c r="M45" i="2"/>
  <c r="N9" i="2"/>
  <c r="M9" i="2"/>
  <c r="M81" i="2"/>
  <c r="M66" i="2"/>
  <c r="M54" i="2"/>
  <c r="H38" i="2"/>
  <c r="L38" i="2" s="1"/>
  <c r="H36" i="2"/>
  <c r="L36" i="2" s="1"/>
  <c r="H37" i="2"/>
  <c r="L37" i="2" s="1"/>
  <c r="H42" i="2"/>
  <c r="L42" i="2" s="1"/>
  <c r="H43" i="2"/>
  <c r="L43" i="2" s="1"/>
  <c r="H82" i="2"/>
  <c r="L82" i="2" s="1"/>
  <c r="H56" i="2"/>
  <c r="L56" i="2" s="1"/>
  <c r="H44" i="2"/>
  <c r="L44" i="2" s="1"/>
  <c r="H81" i="2"/>
  <c r="L81" i="2" s="1"/>
  <c r="H55" i="2"/>
  <c r="L55" i="2" s="1"/>
  <c r="H45" i="2"/>
  <c r="L45" i="2" s="1"/>
  <c r="H66" i="2"/>
  <c r="L66" i="2" s="1"/>
  <c r="H83" i="2"/>
  <c r="L83" i="2" s="1"/>
  <c r="H46" i="2"/>
  <c r="L46" i="2" s="1"/>
  <c r="H67" i="2"/>
  <c r="L67" i="2" s="1"/>
  <c r="H54" i="2"/>
  <c r="L54" i="2" s="1"/>
  <c r="H47" i="2"/>
  <c r="L47" i="2" s="1"/>
  <c r="H68" i="2"/>
  <c r="L68" i="2" s="1"/>
  <c r="Q83" i="2"/>
  <c r="Q68" i="2"/>
  <c r="Q56" i="2"/>
  <c r="Q47" i="2"/>
  <c r="Q44" i="2"/>
  <c r="Q38" i="2"/>
  <c r="Q17" i="2"/>
  <c r="Q14" i="2"/>
  <c r="Q11" i="2"/>
  <c r="Q8" i="2"/>
  <c r="Q82" i="2"/>
  <c r="Q67" i="2"/>
  <c r="Q55" i="2"/>
  <c r="Q46" i="2"/>
  <c r="Q43" i="2"/>
  <c r="Q37" i="2"/>
  <c r="Q19" i="2"/>
  <c r="Q16" i="2"/>
  <c r="Q13" i="2"/>
  <c r="Q10" i="2"/>
  <c r="Q7" i="2"/>
  <c r="Q81" i="2"/>
  <c r="Q66" i="2"/>
  <c r="Q45" i="2"/>
  <c r="Q42" i="2"/>
  <c r="Q36" i="2"/>
  <c r="Q18" i="2"/>
  <c r="Q15" i="2"/>
  <c r="Q12" i="2"/>
  <c r="Q9" i="2"/>
  <c r="Q6" i="2"/>
  <c r="N66" i="2" l="1"/>
  <c r="N81" i="2"/>
  <c r="N36" i="2"/>
  <c r="N45" i="2"/>
  <c r="N42" i="2"/>
  <c r="N54" i="2"/>
</calcChain>
</file>

<file path=xl/sharedStrings.xml><?xml version="1.0" encoding="utf-8"?>
<sst xmlns="http://schemas.openxmlformats.org/spreadsheetml/2006/main" count="150" uniqueCount="73">
  <si>
    <t>KTR</t>
  </si>
  <si>
    <t>CV%</t>
  </si>
  <si>
    <t>Tea%</t>
  </si>
  <si>
    <t>Tea som s</t>
  </si>
  <si>
    <t>Syst. feil</t>
  </si>
  <si>
    <t>SE som s</t>
  </si>
  <si>
    <t>Kregel</t>
  </si>
  <si>
    <t>Pfr</t>
  </si>
  <si>
    <t>Ped</t>
  </si>
  <si>
    <t>CViQM%</t>
  </si>
  <si>
    <t>Kommentar</t>
  </si>
  <si>
    <t>Kommentar:</t>
  </si>
  <si>
    <t>Samlet:</t>
  </si>
  <si>
    <t xml:space="preserve">Oppg. range </t>
  </si>
  <si>
    <t>Antal ktr</t>
  </si>
  <si>
    <t>Aksjonsgr.+/-</t>
  </si>
  <si>
    <t>Pfr &lt;1,5%</t>
  </si>
  <si>
    <t>Samla Pfr</t>
  </si>
  <si>
    <t>Samla Ped</t>
  </si>
  <si>
    <t>Tillagt verdi (kons)</t>
  </si>
  <si>
    <t>Leu</t>
  </si>
  <si>
    <t>Ery</t>
  </si>
  <si>
    <t>Hb</t>
  </si>
  <si>
    <t>MCV</t>
  </si>
  <si>
    <t>HELSE MØRE og ROMSDAL HF</t>
  </si>
  <si>
    <t>Lotnr. for XN CHECK:</t>
  </si>
  <si>
    <t>Level 1</t>
  </si>
  <si>
    <t>Level 3</t>
  </si>
  <si>
    <t>Level 1:</t>
  </si>
  <si>
    <t>PLTF</t>
  </si>
  <si>
    <t>Level 2</t>
  </si>
  <si>
    <t>WBC D</t>
  </si>
  <si>
    <t>EVF</t>
  </si>
  <si>
    <t>For Nøy #, MCV og RET#  tillates Ped =0.70. NB! Ang. RETIK:  For kombinasjonen L2 og L3 er det ikke mulig å oppnå bedre Ped enn ca. 0,20</t>
  </si>
  <si>
    <t>Lab. for med biokjemi og blodbank Molde</t>
  </si>
  <si>
    <t xml:space="preserve">  </t>
  </si>
  <si>
    <t>≥ 90 % (min 80 % tillates unntaksvis) for parametrene Leukocytter, Erytrocytter, Hemoglobin, Trombocytter og Plt-F</t>
  </si>
  <si>
    <r>
      <t>P</t>
    </r>
    <r>
      <rPr>
        <sz val="9"/>
        <rFont val="Arial"/>
        <family val="2"/>
      </rPr>
      <t>ed</t>
    </r>
  </si>
  <si>
    <t>probability for error detection, ønsker &gt;90%</t>
  </si>
  <si>
    <t>probability for false rejection, ønsker &lt;%, helst &lt;%</t>
  </si>
  <si>
    <t>Tea</t>
  </si>
  <si>
    <t>SE</t>
  </si>
  <si>
    <t>systematisk feil</t>
  </si>
  <si>
    <t>MCH</t>
  </si>
  <si>
    <t>MCHC</t>
  </si>
  <si>
    <t>RDV-CV</t>
  </si>
  <si>
    <t>MPV</t>
  </si>
  <si>
    <t>NRBC#</t>
  </si>
  <si>
    <t>RET-HB</t>
  </si>
  <si>
    <t>NRBC%</t>
  </si>
  <si>
    <t>PLT</t>
  </si>
  <si>
    <t>PLT-O</t>
  </si>
  <si>
    <t>LYMF#</t>
  </si>
  <si>
    <t>NØYTR#</t>
  </si>
  <si>
    <t>MONO#</t>
  </si>
  <si>
    <t>EOS#</t>
  </si>
  <si>
    <t>BASO#</t>
  </si>
  <si>
    <t>Retik#</t>
  </si>
  <si>
    <t>RET%</t>
  </si>
  <si>
    <t>IG#</t>
  </si>
  <si>
    <t>IG%</t>
  </si>
  <si>
    <t>ERY-O</t>
  </si>
  <si>
    <t>Analyse</t>
  </si>
  <si>
    <t xml:space="preserve">SD i Beaker </t>
  </si>
  <si>
    <t xml:space="preserve">Tas i bruk(dato/sign): </t>
  </si>
  <si>
    <t>Justert Kregel for nøytr, lymf, eos, baso og mono, antall etter skjønn.</t>
  </si>
  <si>
    <r>
      <t xml:space="preserve">Kontrollregler for SYSMEX XR </t>
    </r>
    <r>
      <rPr>
        <b/>
        <sz val="8"/>
        <rFont val="Arial"/>
        <family val="2"/>
      </rPr>
      <t>Ver.1.1</t>
    </r>
  </si>
  <si>
    <t>Medisinsk biokjemi og blodbank Hjelset. Hematologi og koagulasjon</t>
  </si>
  <si>
    <t xml:space="preserve">CV som er benyttet i beregningen er sist sjekket for 230226-170426. For noen analyser er CV ulik i de ulike nivå. </t>
  </si>
  <si>
    <t>Total allowable error</t>
  </si>
  <si>
    <t>21.05.2026:</t>
  </si>
  <si>
    <t>Oppdatert CV for XR. Lot 17/2/26-20/4/26 (høyesete CV pr apparat og nivå)</t>
  </si>
  <si>
    <t>Lot: XXXX  EXP: 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</si>
</sst>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dd/mm/yy;@"/>
    <numFmt numFmtId="167" formatCode="0.0000"/>
  </numFmts>
  <fonts count="1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b/>
      <sz val="9"/>
      <color theme="3" tint="-0.24997711111789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DD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7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6" fillId="2" borderId="0" xfId="0" applyFont="1" applyFill="1" applyProtection="1">
      <protection locked="0"/>
    </xf>
    <xf numFmtId="2" fontId="7" fillId="2" borderId="0" xfId="0" applyNumberFormat="1" applyFont="1" applyFill="1" applyProtection="1"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0" fontId="6" fillId="2" borderId="0" xfId="0" applyFont="1" applyFill="1" applyAlignment="1" applyProtection="1">
      <alignment horizontal="left"/>
      <protection locked="0"/>
    </xf>
    <xf numFmtId="0" fontId="6" fillId="2" borderId="0" xfId="0" applyFont="1" applyFill="1" applyAlignment="1" applyProtection="1">
      <alignment horizontal="center"/>
      <protection locked="0"/>
    </xf>
    <xf numFmtId="14" fontId="7" fillId="2" borderId="0" xfId="0" applyNumberFormat="1" applyFont="1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right"/>
      <protection locked="0"/>
    </xf>
    <xf numFmtId="0" fontId="0" fillId="2" borderId="0" xfId="0" applyFill="1" applyAlignment="1" applyProtection="1">
      <alignment horizontal="center"/>
      <protection locked="0"/>
    </xf>
    <xf numFmtId="2" fontId="0" fillId="2" borderId="0" xfId="0" applyNumberFormat="1" applyFill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2" fillId="2" borderId="0" xfId="0" applyFont="1" applyFill="1" applyProtection="1">
      <protection locked="0"/>
    </xf>
    <xf numFmtId="0" fontId="1" fillId="2" borderId="0" xfId="0" applyFont="1" applyFill="1" applyAlignment="1" applyProtection="1">
      <alignment horizontal="left" wrapText="1"/>
      <protection locked="0"/>
    </xf>
    <xf numFmtId="0" fontId="10" fillId="0" borderId="15" xfId="0" applyFont="1" applyBorder="1" applyProtection="1">
      <protection locked="0"/>
    </xf>
    <xf numFmtId="0" fontId="0" fillId="0" borderId="15" xfId="0" applyBorder="1" applyProtection="1">
      <protection locked="0"/>
    </xf>
    <xf numFmtId="0" fontId="7" fillId="2" borderId="15" xfId="0" applyFont="1" applyFill="1" applyBorder="1" applyProtection="1">
      <protection locked="0"/>
    </xf>
    <xf numFmtId="0" fontId="7" fillId="2" borderId="16" xfId="0" applyFont="1" applyFill="1" applyBorder="1" applyAlignment="1" applyProtection="1">
      <alignment horizontal="center"/>
      <protection locked="0"/>
    </xf>
    <xf numFmtId="0" fontId="7" fillId="2" borderId="17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2" fontId="0" fillId="2" borderId="0" xfId="0" applyNumberForma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0" fontId="6" fillId="2" borderId="11" xfId="0" applyFont="1" applyFill="1" applyBorder="1" applyProtection="1">
      <protection locked="0"/>
    </xf>
    <xf numFmtId="0" fontId="5" fillId="2" borderId="11" xfId="0" applyFont="1" applyFill="1" applyBorder="1" applyProtection="1">
      <protection locked="0"/>
    </xf>
    <xf numFmtId="0" fontId="5" fillId="0" borderId="8" xfId="0" applyFont="1" applyBorder="1" applyProtection="1">
      <protection locked="0"/>
    </xf>
    <xf numFmtId="1" fontId="6" fillId="2" borderId="0" xfId="0" applyNumberFormat="1" applyFont="1" applyFill="1" applyAlignment="1" applyProtection="1">
      <alignment horizontal="left"/>
      <protection locked="0"/>
    </xf>
    <xf numFmtId="0" fontId="5" fillId="2" borderId="7" xfId="0" applyFont="1" applyFill="1" applyBorder="1" applyProtection="1">
      <protection locked="0"/>
    </xf>
    <xf numFmtId="0" fontId="5" fillId="2" borderId="7" xfId="0" applyFont="1" applyFill="1" applyBorder="1" applyAlignment="1" applyProtection="1">
      <alignment wrapText="1"/>
      <protection locked="0"/>
    </xf>
    <xf numFmtId="0" fontId="5" fillId="2" borderId="10" xfId="0" applyFont="1" applyFill="1" applyBorder="1" applyProtection="1">
      <protection locked="0"/>
    </xf>
    <xf numFmtId="0" fontId="5" fillId="2" borderId="11" xfId="0" applyFont="1" applyFill="1" applyBorder="1" applyAlignment="1" applyProtection="1">
      <alignment wrapText="1"/>
      <protection locked="0"/>
    </xf>
    <xf numFmtId="0" fontId="5" fillId="4" borderId="4" xfId="0" applyFont="1" applyFill="1" applyBorder="1" applyAlignment="1" applyProtection="1">
      <alignment horizontal="center"/>
      <protection locked="0"/>
    </xf>
    <xf numFmtId="0" fontId="5" fillId="4" borderId="3" xfId="0" applyFont="1" applyFill="1" applyBorder="1" applyAlignment="1" applyProtection="1">
      <alignment horizontal="center"/>
      <protection locked="0"/>
    </xf>
    <xf numFmtId="0" fontId="5" fillId="4" borderId="5" xfId="0" applyFont="1" applyFill="1" applyBorder="1" applyAlignment="1" applyProtection="1">
      <alignment horizontal="center"/>
      <protection locked="0"/>
    </xf>
    <xf numFmtId="0" fontId="5" fillId="4" borderId="9" xfId="0" applyFont="1" applyFill="1" applyBorder="1" applyAlignment="1" applyProtection="1">
      <alignment horizontal="center"/>
      <protection locked="0"/>
    </xf>
    <xf numFmtId="0" fontId="5" fillId="4" borderId="12" xfId="0" applyFont="1" applyFill="1" applyBorder="1" applyAlignment="1" applyProtection="1">
      <alignment horizontal="center"/>
      <protection locked="0"/>
    </xf>
    <xf numFmtId="0" fontId="2" fillId="0" borderId="0" xfId="0" applyFont="1"/>
    <xf numFmtId="0" fontId="5" fillId="2" borderId="13" xfId="0" applyFont="1" applyFill="1" applyBorder="1" applyProtection="1">
      <protection locked="0"/>
    </xf>
    <xf numFmtId="2" fontId="5" fillId="6" borderId="4" xfId="0" applyNumberFormat="1" applyFont="1" applyFill="1" applyBorder="1" applyAlignment="1" applyProtection="1">
      <alignment horizontal="center"/>
      <protection locked="0"/>
    </xf>
    <xf numFmtId="2" fontId="5" fillId="6" borderId="3" xfId="0" applyNumberFormat="1" applyFont="1" applyFill="1" applyBorder="1" applyAlignment="1" applyProtection="1">
      <alignment horizontal="center"/>
      <protection locked="0"/>
    </xf>
    <xf numFmtId="2" fontId="5" fillId="6" borderId="5" xfId="0" applyNumberFormat="1" applyFont="1" applyFill="1" applyBorder="1" applyAlignment="1" applyProtection="1">
      <alignment horizontal="center"/>
      <protection locked="0"/>
    </xf>
    <xf numFmtId="2" fontId="5" fillId="6" borderId="9" xfId="0" applyNumberFormat="1" applyFont="1" applyFill="1" applyBorder="1" applyAlignment="1" applyProtection="1">
      <alignment horizontal="center"/>
      <protection locked="0"/>
    </xf>
    <xf numFmtId="2" fontId="5" fillId="6" borderId="12" xfId="0" applyNumberFormat="1" applyFont="1" applyFill="1" applyBorder="1" applyAlignment="1" applyProtection="1">
      <alignment horizontal="center"/>
      <protection locked="0"/>
    </xf>
    <xf numFmtId="165" fontId="5" fillId="6" borderId="3" xfId="0" applyNumberFormat="1" applyFont="1" applyFill="1" applyBorder="1" applyAlignment="1" applyProtection="1">
      <alignment horizontal="center"/>
      <protection locked="0"/>
    </xf>
    <xf numFmtId="165" fontId="5" fillId="6" borderId="9" xfId="0" applyNumberFormat="1" applyFont="1" applyFill="1" applyBorder="1" applyAlignment="1" applyProtection="1">
      <alignment horizontal="center"/>
      <protection locked="0"/>
    </xf>
    <xf numFmtId="165" fontId="5" fillId="6" borderId="12" xfId="0" applyNumberFormat="1" applyFont="1" applyFill="1" applyBorder="1" applyAlignment="1" applyProtection="1">
      <alignment horizontal="center"/>
      <protection locked="0"/>
    </xf>
    <xf numFmtId="165" fontId="5" fillId="6" borderId="4" xfId="0" applyNumberFormat="1" applyFont="1" applyFill="1" applyBorder="1" applyAlignment="1" applyProtection="1">
      <alignment horizontal="center"/>
      <protection locked="0"/>
    </xf>
    <xf numFmtId="165" fontId="5" fillId="6" borderId="5" xfId="0" applyNumberFormat="1" applyFont="1" applyFill="1" applyBorder="1" applyAlignment="1" applyProtection="1">
      <alignment horizontal="center"/>
      <protection locked="0"/>
    </xf>
    <xf numFmtId="1" fontId="5" fillId="6" borderId="3" xfId="0" applyNumberFormat="1" applyFont="1" applyFill="1" applyBorder="1" applyAlignment="1" applyProtection="1">
      <alignment horizontal="center"/>
      <protection locked="0"/>
    </xf>
    <xf numFmtId="1" fontId="5" fillId="6" borderId="5" xfId="0" applyNumberFormat="1" applyFont="1" applyFill="1" applyBorder="1" applyAlignment="1" applyProtection="1">
      <alignment horizontal="center"/>
      <protection locked="0"/>
    </xf>
    <xf numFmtId="1" fontId="5" fillId="6" borderId="12" xfId="0" applyNumberFormat="1" applyFont="1" applyFill="1" applyBorder="1" applyAlignment="1" applyProtection="1">
      <alignment horizontal="center"/>
      <protection locked="0"/>
    </xf>
    <xf numFmtId="167" fontId="5" fillId="6" borderId="3" xfId="0" applyNumberFormat="1" applyFont="1" applyFill="1" applyBorder="1" applyAlignment="1" applyProtection="1">
      <alignment horizontal="center"/>
      <protection locked="0"/>
    </xf>
    <xf numFmtId="165" fontId="6" fillId="7" borderId="4" xfId="0" applyNumberFormat="1" applyFont="1" applyFill="1" applyBorder="1" applyAlignment="1">
      <alignment horizontal="center"/>
    </xf>
    <xf numFmtId="2" fontId="7" fillId="7" borderId="3" xfId="0" applyNumberFormat="1" applyFont="1" applyFill="1" applyBorder="1"/>
    <xf numFmtId="165" fontId="6" fillId="7" borderId="3" xfId="0" applyNumberFormat="1" applyFont="1" applyFill="1" applyBorder="1" applyAlignment="1">
      <alignment horizontal="center"/>
    </xf>
    <xf numFmtId="2" fontId="7" fillId="7" borderId="9" xfId="0" applyNumberFormat="1" applyFont="1" applyFill="1" applyBorder="1"/>
    <xf numFmtId="165" fontId="6" fillId="7" borderId="5" xfId="0" applyNumberFormat="1" applyFont="1" applyFill="1" applyBorder="1" applyAlignment="1">
      <alignment horizontal="center"/>
    </xf>
    <xf numFmtId="165" fontId="6" fillId="7" borderId="9" xfId="0" applyNumberFormat="1" applyFont="1" applyFill="1" applyBorder="1" applyAlignment="1">
      <alignment horizontal="center"/>
    </xf>
    <xf numFmtId="165" fontId="6" fillId="7" borderId="12" xfId="0" applyNumberFormat="1" applyFont="1" applyFill="1" applyBorder="1" applyAlignment="1">
      <alignment horizontal="center"/>
    </xf>
    <xf numFmtId="2" fontId="7" fillId="7" borderId="12" xfId="0" applyNumberFormat="1" applyFont="1" applyFill="1" applyBorder="1"/>
    <xf numFmtId="2" fontId="7" fillId="7" borderId="4" xfId="0" applyNumberFormat="1" applyFont="1" applyFill="1" applyBorder="1"/>
    <xf numFmtId="2" fontId="7" fillId="7" borderId="5" xfId="0" applyNumberFormat="1" applyFont="1" applyFill="1" applyBorder="1"/>
    <xf numFmtId="0" fontId="7" fillId="7" borderId="4" xfId="0" applyFont="1" applyFill="1" applyBorder="1" applyAlignment="1" applyProtection="1">
      <alignment horizontal="center"/>
      <protection locked="0"/>
    </xf>
    <xf numFmtId="0" fontId="7" fillId="7" borderId="4" xfId="0" applyFont="1" applyFill="1" applyBorder="1" applyAlignment="1">
      <alignment horizontal="center"/>
    </xf>
    <xf numFmtId="0" fontId="7" fillId="7" borderId="3" xfId="0" applyFont="1" applyFill="1" applyBorder="1" applyAlignment="1" applyProtection="1">
      <alignment horizontal="center"/>
      <protection locked="0"/>
    </xf>
    <xf numFmtId="0" fontId="7" fillId="7" borderId="3" xfId="0" applyFont="1" applyFill="1" applyBorder="1" applyAlignment="1">
      <alignment horizontal="center"/>
    </xf>
    <xf numFmtId="0" fontId="7" fillId="7" borderId="5" xfId="0" applyFont="1" applyFill="1" applyBorder="1" applyAlignment="1" applyProtection="1">
      <alignment horizontal="center"/>
      <protection locked="0"/>
    </xf>
    <xf numFmtId="0" fontId="7" fillId="7" borderId="5" xfId="0" applyFont="1" applyFill="1" applyBorder="1" applyAlignment="1">
      <alignment horizontal="center"/>
    </xf>
    <xf numFmtId="0" fontId="7" fillId="7" borderId="9" xfId="0" applyFont="1" applyFill="1" applyBorder="1" applyAlignment="1" applyProtection="1">
      <alignment horizontal="center"/>
      <protection locked="0"/>
    </xf>
    <xf numFmtId="0" fontId="7" fillId="7" borderId="9" xfId="0" applyFont="1" applyFill="1" applyBorder="1" applyAlignment="1">
      <alignment horizontal="center"/>
    </xf>
    <xf numFmtId="0" fontId="7" fillId="7" borderId="12" xfId="0" applyFont="1" applyFill="1" applyBorder="1" applyAlignment="1" applyProtection="1">
      <alignment horizontal="center"/>
      <protection locked="0"/>
    </xf>
    <xf numFmtId="0" fontId="7" fillId="7" borderId="12" xfId="0" applyFont="1" applyFill="1" applyBorder="1" applyAlignment="1">
      <alignment horizontal="center"/>
    </xf>
    <xf numFmtId="2" fontId="7" fillId="7" borderId="4" xfId="0" applyNumberFormat="1" applyFont="1" applyFill="1" applyBorder="1" applyProtection="1">
      <protection locked="0"/>
    </xf>
    <xf numFmtId="2" fontId="7" fillId="7" borderId="3" xfId="0" applyNumberFormat="1" applyFont="1" applyFill="1" applyBorder="1" applyProtection="1">
      <protection locked="0"/>
    </xf>
    <xf numFmtId="2" fontId="7" fillId="7" borderId="5" xfId="0" applyNumberFormat="1" applyFont="1" applyFill="1" applyBorder="1" applyProtection="1">
      <protection locked="0"/>
    </xf>
    <xf numFmtId="2" fontId="7" fillId="7" borderId="12" xfId="0" applyNumberFormat="1" applyFont="1" applyFill="1" applyBorder="1" applyProtection="1">
      <protection locked="0"/>
    </xf>
    <xf numFmtId="2" fontId="7" fillId="7" borderId="9" xfId="0" applyNumberFormat="1" applyFont="1" applyFill="1" applyBorder="1" applyProtection="1">
      <protection locked="0"/>
    </xf>
    <xf numFmtId="0" fontId="7" fillId="5" borderId="4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165" fontId="7" fillId="8" borderId="4" xfId="0" applyNumberFormat="1" applyFont="1" applyFill="1" applyBorder="1" applyAlignment="1" applyProtection="1">
      <alignment horizontal="center"/>
      <protection locked="0"/>
    </xf>
    <xf numFmtId="165" fontId="7" fillId="8" borderId="3" xfId="0" applyNumberFormat="1" applyFont="1" applyFill="1" applyBorder="1" applyAlignment="1" applyProtection="1">
      <alignment horizontal="center"/>
      <protection locked="0"/>
    </xf>
    <xf numFmtId="165" fontId="7" fillId="8" borderId="5" xfId="0" applyNumberFormat="1" applyFont="1" applyFill="1" applyBorder="1" applyAlignment="1" applyProtection="1">
      <alignment horizontal="center"/>
      <protection locked="0"/>
    </xf>
    <xf numFmtId="165" fontId="7" fillId="8" borderId="9" xfId="0" applyNumberFormat="1" applyFont="1" applyFill="1" applyBorder="1" applyAlignment="1" applyProtection="1">
      <alignment horizontal="center"/>
      <protection locked="0"/>
    </xf>
    <xf numFmtId="165" fontId="7" fillId="8" borderId="12" xfId="0" applyNumberFormat="1" applyFont="1" applyFill="1" applyBorder="1" applyAlignment="1" applyProtection="1">
      <alignment horizontal="center"/>
      <protection locked="0"/>
    </xf>
    <xf numFmtId="164" fontId="7" fillId="8" borderId="4" xfId="0" applyNumberFormat="1" applyFont="1" applyFill="1" applyBorder="1" applyAlignment="1">
      <alignment horizontal="center"/>
    </xf>
    <xf numFmtId="2" fontId="7" fillId="8" borderId="4" xfId="0" applyNumberFormat="1" applyFont="1" applyFill="1" applyBorder="1" applyAlignment="1">
      <alignment horizontal="center"/>
    </xf>
    <xf numFmtId="164" fontId="7" fillId="8" borderId="3" xfId="0" applyNumberFormat="1" applyFont="1" applyFill="1" applyBorder="1" applyAlignment="1">
      <alignment horizontal="center"/>
    </xf>
    <xf numFmtId="2" fontId="7" fillId="8" borderId="3" xfId="0" applyNumberFormat="1" applyFont="1" applyFill="1" applyBorder="1" applyAlignment="1">
      <alignment horizontal="center"/>
    </xf>
    <xf numFmtId="164" fontId="7" fillId="8" borderId="5" xfId="0" applyNumberFormat="1" applyFont="1" applyFill="1" applyBorder="1" applyAlignment="1">
      <alignment horizontal="center"/>
    </xf>
    <xf numFmtId="2" fontId="7" fillId="8" borderId="5" xfId="0" applyNumberFormat="1" applyFont="1" applyFill="1" applyBorder="1" applyAlignment="1">
      <alignment horizontal="center"/>
    </xf>
    <xf numFmtId="164" fontId="7" fillId="8" borderId="9" xfId="0" applyNumberFormat="1" applyFont="1" applyFill="1" applyBorder="1" applyAlignment="1">
      <alignment horizontal="center"/>
    </xf>
    <xf numFmtId="2" fontId="7" fillId="8" borderId="9" xfId="0" applyNumberFormat="1" applyFont="1" applyFill="1" applyBorder="1" applyAlignment="1">
      <alignment horizontal="center"/>
    </xf>
    <xf numFmtId="164" fontId="7" fillId="8" borderId="12" xfId="0" applyNumberFormat="1" applyFont="1" applyFill="1" applyBorder="1" applyAlignment="1">
      <alignment horizontal="center"/>
    </xf>
    <xf numFmtId="2" fontId="7" fillId="8" borderId="12" xfId="0" applyNumberFormat="1" applyFont="1" applyFill="1" applyBorder="1" applyAlignment="1">
      <alignment horizontal="center"/>
    </xf>
    <xf numFmtId="2" fontId="7" fillId="2" borderId="3" xfId="0" applyNumberFormat="1" applyFont="1" applyFill="1" applyBorder="1" applyAlignment="1" applyProtection="1">
      <alignment horizontal="center"/>
      <protection locked="0"/>
    </xf>
    <xf numFmtId="0" fontId="11" fillId="0" borderId="3" xfId="0" applyFont="1" applyBorder="1" applyProtection="1">
      <protection locked="0"/>
    </xf>
    <xf numFmtId="0" fontId="8" fillId="0" borderId="3" xfId="0" applyFont="1" applyBorder="1" applyProtection="1">
      <protection locked="0"/>
    </xf>
    <xf numFmtId="0" fontId="8" fillId="2" borderId="3" xfId="0" applyFont="1" applyFill="1" applyBorder="1" applyProtection="1">
      <protection locked="0"/>
    </xf>
    <xf numFmtId="0" fontId="8" fillId="2" borderId="3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6" fillId="2" borderId="3" xfId="0" applyFont="1" applyFill="1" applyBorder="1" applyAlignment="1" applyProtection="1">
      <alignment horizontal="right"/>
      <protection locked="0"/>
    </xf>
    <xf numFmtId="0" fontId="6" fillId="2" borderId="3" xfId="0" applyFont="1" applyFill="1" applyBorder="1" applyAlignment="1" applyProtection="1">
      <alignment horizontal="left"/>
      <protection locked="0"/>
    </xf>
    <xf numFmtId="0" fontId="6" fillId="2" borderId="3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Protection="1">
      <protection locked="0"/>
    </xf>
    <xf numFmtId="166" fontId="7" fillId="2" borderId="3" xfId="0" applyNumberFormat="1" applyFont="1" applyFill="1" applyBorder="1" applyProtection="1">
      <protection locked="0"/>
    </xf>
    <xf numFmtId="0" fontId="5" fillId="2" borderId="3" xfId="0" applyFont="1" applyFill="1" applyBorder="1" applyAlignment="1" applyProtection="1">
      <alignment horizontal="center"/>
      <protection locked="0"/>
    </xf>
    <xf numFmtId="0" fontId="6" fillId="7" borderId="3" xfId="0" applyFont="1" applyFill="1" applyBorder="1" applyAlignment="1" applyProtection="1">
      <alignment horizontal="right"/>
      <protection locked="0"/>
    </xf>
    <xf numFmtId="164" fontId="7" fillId="7" borderId="3" xfId="0" applyNumberFormat="1" applyFont="1" applyFill="1" applyBorder="1"/>
    <xf numFmtId="0" fontId="7" fillId="2" borderId="12" xfId="0" applyFont="1" applyFill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right"/>
      <protection locked="0"/>
    </xf>
    <xf numFmtId="0" fontId="6" fillId="2" borderId="12" xfId="0" applyFont="1" applyFill="1" applyBorder="1" applyAlignment="1" applyProtection="1">
      <alignment horizontal="left"/>
      <protection locked="0"/>
    </xf>
    <xf numFmtId="0" fontId="6" fillId="2" borderId="12" xfId="0" applyFont="1" applyFill="1" applyBorder="1" applyAlignment="1" applyProtection="1">
      <alignment horizontal="center"/>
      <protection locked="0"/>
    </xf>
    <xf numFmtId="0" fontId="7" fillId="2" borderId="12" xfId="0" applyFont="1" applyFill="1" applyBorder="1" applyProtection="1">
      <protection locked="0"/>
    </xf>
    <xf numFmtId="2" fontId="7" fillId="2" borderId="12" xfId="0" applyNumberFormat="1" applyFont="1" applyFill="1" applyBorder="1" applyProtection="1">
      <protection locked="0"/>
    </xf>
    <xf numFmtId="0" fontId="6" fillId="7" borderId="9" xfId="0" applyFont="1" applyFill="1" applyBorder="1" applyAlignment="1" applyProtection="1">
      <alignment horizontal="right"/>
      <protection locked="0"/>
    </xf>
    <xf numFmtId="164" fontId="5" fillId="6" borderId="3" xfId="0" applyNumberFormat="1" applyFont="1" applyFill="1" applyBorder="1" applyAlignment="1" applyProtection="1">
      <alignment horizontal="center"/>
      <protection locked="0"/>
    </xf>
    <xf numFmtId="0" fontId="5" fillId="0" borderId="11" xfId="0" applyFont="1" applyBorder="1" applyProtection="1">
      <protection locked="0"/>
    </xf>
    <xf numFmtId="0" fontId="5" fillId="0" borderId="11" xfId="0" applyFont="1" applyBorder="1" applyAlignment="1" applyProtection="1">
      <alignment wrapText="1"/>
      <protection locked="0"/>
    </xf>
    <xf numFmtId="0" fontId="6" fillId="7" borderId="5" xfId="0" applyFont="1" applyFill="1" applyBorder="1" applyAlignment="1" applyProtection="1">
      <alignment horizontal="right"/>
      <protection locked="0"/>
    </xf>
    <xf numFmtId="0" fontId="6" fillId="7" borderId="12" xfId="0" applyFont="1" applyFill="1" applyBorder="1" applyAlignment="1" applyProtection="1">
      <alignment horizontal="right"/>
      <protection locked="0"/>
    </xf>
    <xf numFmtId="0" fontId="5" fillId="0" borderId="13" xfId="0" applyFont="1" applyBorder="1" applyProtection="1">
      <protection locked="0"/>
    </xf>
    <xf numFmtId="0" fontId="6" fillId="7" borderId="4" xfId="0" applyFont="1" applyFill="1" applyBorder="1" applyAlignment="1" applyProtection="1">
      <alignment horizontal="right"/>
      <protection locked="0"/>
    </xf>
    <xf numFmtId="0" fontId="5" fillId="0" borderId="10" xfId="0" applyFont="1" applyBorder="1" applyProtection="1">
      <protection locked="0"/>
    </xf>
    <xf numFmtId="0" fontId="5" fillId="0" borderId="7" xfId="0" applyFont="1" applyBorder="1" applyProtection="1">
      <protection locked="0"/>
    </xf>
    <xf numFmtId="0" fontId="5" fillId="0" borderId="8" xfId="0" applyFont="1" applyBorder="1" applyAlignment="1" applyProtection="1">
      <alignment wrapText="1"/>
      <protection locked="0"/>
    </xf>
    <xf numFmtId="0" fontId="5" fillId="0" borderId="7" xfId="0" applyFont="1" applyBorder="1" applyAlignment="1" applyProtection="1">
      <alignment wrapText="1"/>
      <protection locked="0"/>
    </xf>
    <xf numFmtId="0" fontId="5" fillId="0" borderId="13" xfId="0" applyFont="1" applyBorder="1" applyAlignment="1" applyProtection="1">
      <alignment wrapText="1"/>
      <protection locked="0"/>
    </xf>
    <xf numFmtId="0" fontId="5" fillId="0" borderId="10" xfId="0" applyFont="1" applyBorder="1" applyAlignment="1" applyProtection="1">
      <alignment wrapText="1"/>
      <protection locked="0"/>
    </xf>
    <xf numFmtId="0" fontId="5" fillId="2" borderId="8" xfId="0" applyFont="1" applyFill="1" applyBorder="1" applyProtection="1">
      <protection locked="0"/>
    </xf>
    <xf numFmtId="0" fontId="1" fillId="7" borderId="19" xfId="0" applyFont="1" applyFill="1" applyBorder="1" applyAlignment="1" applyProtection="1">
      <alignment horizontal="center" wrapText="1"/>
      <protection locked="0"/>
    </xf>
    <xf numFmtId="0" fontId="1" fillId="7" borderId="6" xfId="0" applyFont="1" applyFill="1" applyBorder="1" applyAlignment="1" applyProtection="1">
      <alignment horizontal="center" wrapText="1"/>
      <protection locked="0"/>
    </xf>
    <xf numFmtId="0" fontId="1" fillId="6" borderId="6" xfId="0" applyFont="1" applyFill="1" applyBorder="1" applyAlignment="1" applyProtection="1">
      <alignment horizontal="center" wrapText="1"/>
      <protection locked="0"/>
    </xf>
    <xf numFmtId="0" fontId="1" fillId="8" borderId="6" xfId="0" applyFont="1" applyFill="1" applyBorder="1" applyAlignment="1" applyProtection="1">
      <alignment horizontal="center" wrapText="1"/>
      <protection locked="0"/>
    </xf>
    <xf numFmtId="0" fontId="1" fillId="5" borderId="6" xfId="0" applyFont="1" applyFill="1" applyBorder="1" applyAlignment="1">
      <alignment horizontal="center" wrapText="1"/>
    </xf>
    <xf numFmtId="2" fontId="1" fillId="7" borderId="6" xfId="0" applyNumberFormat="1" applyFont="1" applyFill="1" applyBorder="1" applyAlignment="1" applyProtection="1">
      <alignment horizontal="center" wrapText="1"/>
      <protection locked="0"/>
    </xf>
    <xf numFmtId="0" fontId="1" fillId="7" borderId="6" xfId="0" applyFont="1" applyFill="1" applyBorder="1" applyAlignment="1">
      <alignment horizontal="center" wrapText="1"/>
    </xf>
    <xf numFmtId="0" fontId="1" fillId="4" borderId="6" xfId="0" applyFont="1" applyFill="1" applyBorder="1" applyAlignment="1" applyProtection="1">
      <alignment horizontal="center" wrapText="1"/>
      <protection locked="0"/>
    </xf>
    <xf numFmtId="2" fontId="1" fillId="8" borderId="6" xfId="0" applyNumberFormat="1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center" wrapText="1"/>
    </xf>
    <xf numFmtId="0" fontId="1" fillId="3" borderId="20" xfId="0" applyFont="1" applyFill="1" applyBorder="1" applyAlignment="1" applyProtection="1">
      <alignment horizontal="center" wrapText="1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6" fillId="2" borderId="3" xfId="0" applyFont="1" applyFill="1" applyBorder="1" applyAlignment="1" applyProtection="1">
      <alignment horizontal="center" wrapText="1"/>
      <protection locked="0"/>
    </xf>
    <xf numFmtId="2" fontId="7" fillId="7" borderId="2" xfId="0" applyNumberFormat="1" applyFont="1" applyFill="1" applyBorder="1"/>
    <xf numFmtId="2" fontId="7" fillId="7" borderId="1" xfId="0" applyNumberFormat="1" applyFont="1" applyFill="1" applyBorder="1"/>
    <xf numFmtId="167" fontId="5" fillId="6" borderId="12" xfId="0" applyNumberFormat="1" applyFont="1" applyFill="1" applyBorder="1" applyAlignment="1" applyProtection="1">
      <alignment horizontal="center"/>
      <protection locked="0"/>
    </xf>
    <xf numFmtId="164" fontId="7" fillId="7" borderId="12" xfId="0" applyNumberFormat="1" applyFont="1" applyFill="1" applyBorder="1"/>
    <xf numFmtId="167" fontId="5" fillId="6" borderId="9" xfId="0" applyNumberFormat="1" applyFont="1" applyFill="1" applyBorder="1" applyAlignment="1" applyProtection="1">
      <alignment horizontal="center"/>
      <protection locked="0"/>
    </xf>
    <xf numFmtId="164" fontId="7" fillId="7" borderId="9" xfId="0" applyNumberFormat="1" applyFont="1" applyFill="1" applyBorder="1"/>
    <xf numFmtId="165" fontId="5" fillId="4" borderId="12" xfId="0" applyNumberFormat="1" applyFont="1" applyFill="1" applyBorder="1" applyAlignment="1" applyProtection="1">
      <alignment horizontal="center"/>
      <protection locked="0"/>
    </xf>
    <xf numFmtId="1" fontId="5" fillId="6" borderId="9" xfId="0" applyNumberFormat="1" applyFont="1" applyFill="1" applyBorder="1" applyAlignment="1" applyProtection="1">
      <alignment horizontal="center"/>
      <protection locked="0"/>
    </xf>
    <xf numFmtId="0" fontId="6" fillId="2" borderId="8" xfId="0" applyFont="1" applyFill="1" applyBorder="1" applyProtection="1">
      <protection locked="0"/>
    </xf>
    <xf numFmtId="164" fontId="5" fillId="6" borderId="4" xfId="0" applyNumberFormat="1" applyFont="1" applyFill="1" applyBorder="1" applyAlignment="1" applyProtection="1">
      <alignment horizontal="center"/>
      <protection locked="0"/>
    </xf>
    <xf numFmtId="164" fontId="5" fillId="6" borderId="5" xfId="0" applyNumberFormat="1" applyFont="1" applyFill="1" applyBorder="1" applyAlignment="1" applyProtection="1">
      <alignment horizontal="center"/>
      <protection locked="0"/>
    </xf>
    <xf numFmtId="14" fontId="0" fillId="0" borderId="0" xfId="0" applyNumberFormat="1"/>
    <xf numFmtId="165" fontId="5" fillId="8" borderId="9" xfId="0" applyNumberFormat="1" applyFont="1" applyFill="1" applyBorder="1" applyAlignment="1" applyProtection="1">
      <alignment horizontal="center"/>
      <protection locked="0"/>
    </xf>
    <xf numFmtId="0" fontId="5" fillId="5" borderId="9" xfId="0" applyFont="1" applyFill="1" applyBorder="1" applyAlignment="1">
      <alignment horizontal="center"/>
    </xf>
    <xf numFmtId="0" fontId="5" fillId="7" borderId="9" xfId="0" applyFont="1" applyFill="1" applyBorder="1" applyAlignment="1" applyProtection="1">
      <alignment horizontal="center"/>
      <protection locked="0"/>
    </xf>
    <xf numFmtId="2" fontId="5" fillId="7" borderId="9" xfId="0" applyNumberFormat="1" applyFont="1" applyFill="1" applyBorder="1"/>
    <xf numFmtId="0" fontId="5" fillId="7" borderId="9" xfId="0" applyFont="1" applyFill="1" applyBorder="1" applyAlignment="1">
      <alignment horizontal="center"/>
    </xf>
    <xf numFmtId="164" fontId="5" fillId="8" borderId="9" xfId="0" applyNumberFormat="1" applyFont="1" applyFill="1" applyBorder="1" applyAlignment="1">
      <alignment horizontal="center"/>
    </xf>
    <xf numFmtId="2" fontId="5" fillId="8" borderId="9" xfId="0" applyNumberFormat="1" applyFont="1" applyFill="1" applyBorder="1" applyAlignment="1">
      <alignment horizontal="center"/>
    </xf>
    <xf numFmtId="165" fontId="5" fillId="7" borderId="9" xfId="0" applyNumberFormat="1" applyFont="1" applyFill="1" applyBorder="1" applyAlignment="1">
      <alignment horizontal="center"/>
    </xf>
    <xf numFmtId="165" fontId="5" fillId="8" borderId="3" xfId="0" applyNumberFormat="1" applyFont="1" applyFill="1" applyBorder="1" applyAlignment="1" applyProtection="1">
      <alignment horizontal="center"/>
      <protection locked="0"/>
    </xf>
    <xf numFmtId="0" fontId="5" fillId="5" borderId="3" xfId="0" applyFont="1" applyFill="1" applyBorder="1" applyAlignment="1">
      <alignment horizontal="center"/>
    </xf>
    <xf numFmtId="0" fontId="5" fillId="7" borderId="3" xfId="0" applyFont="1" applyFill="1" applyBorder="1" applyAlignment="1" applyProtection="1">
      <alignment horizontal="center"/>
      <protection locked="0"/>
    </xf>
    <xf numFmtId="2" fontId="5" fillId="7" borderId="3" xfId="0" applyNumberFormat="1" applyFont="1" applyFill="1" applyBorder="1"/>
    <xf numFmtId="0" fontId="5" fillId="7" borderId="3" xfId="0" applyFont="1" applyFill="1" applyBorder="1" applyAlignment="1">
      <alignment horizontal="center"/>
    </xf>
    <xf numFmtId="164" fontId="5" fillId="8" borderId="3" xfId="0" applyNumberFormat="1" applyFont="1" applyFill="1" applyBorder="1" applyAlignment="1">
      <alignment horizontal="center"/>
    </xf>
    <xf numFmtId="2" fontId="5" fillId="8" borderId="3" xfId="0" applyNumberFormat="1" applyFont="1" applyFill="1" applyBorder="1" applyAlignment="1">
      <alignment horizontal="center"/>
    </xf>
    <xf numFmtId="165" fontId="5" fillId="7" borderId="3" xfId="0" applyNumberFormat="1" applyFont="1" applyFill="1" applyBorder="1" applyAlignment="1">
      <alignment horizontal="center"/>
    </xf>
    <xf numFmtId="165" fontId="5" fillId="8" borderId="12" xfId="0" applyNumberFormat="1" applyFont="1" applyFill="1" applyBorder="1" applyAlignment="1" applyProtection="1">
      <alignment horizontal="center"/>
      <protection locked="0"/>
    </xf>
    <xf numFmtId="0" fontId="5" fillId="5" borderId="12" xfId="0" applyFont="1" applyFill="1" applyBorder="1" applyAlignment="1">
      <alignment horizontal="center"/>
    </xf>
    <xf numFmtId="0" fontId="5" fillId="7" borderId="12" xfId="0" applyFont="1" applyFill="1" applyBorder="1" applyAlignment="1" applyProtection="1">
      <alignment horizontal="center"/>
      <protection locked="0"/>
    </xf>
    <xf numFmtId="2" fontId="5" fillId="7" borderId="12" xfId="0" applyNumberFormat="1" applyFont="1" applyFill="1" applyBorder="1"/>
    <xf numFmtId="0" fontId="5" fillId="7" borderId="12" xfId="0" applyFont="1" applyFill="1" applyBorder="1" applyAlignment="1">
      <alignment horizontal="center"/>
    </xf>
    <xf numFmtId="164" fontId="5" fillId="8" borderId="12" xfId="0" applyNumberFormat="1" applyFont="1" applyFill="1" applyBorder="1" applyAlignment="1">
      <alignment horizontal="center"/>
    </xf>
    <xf numFmtId="2" fontId="5" fillId="8" borderId="12" xfId="0" applyNumberFormat="1" applyFont="1" applyFill="1" applyBorder="1" applyAlignment="1">
      <alignment horizontal="center"/>
    </xf>
    <xf numFmtId="2" fontId="5" fillId="7" borderId="2" xfId="0" applyNumberFormat="1" applyFont="1" applyFill="1" applyBorder="1"/>
    <xf numFmtId="165" fontId="5" fillId="7" borderId="12" xfId="0" applyNumberFormat="1" applyFont="1" applyFill="1" applyBorder="1" applyAlignment="1">
      <alignment horizontal="center"/>
    </xf>
    <xf numFmtId="164" fontId="6" fillId="6" borderId="4" xfId="0" applyNumberFormat="1" applyFont="1" applyFill="1" applyBorder="1" applyAlignment="1">
      <alignment horizontal="center"/>
    </xf>
    <xf numFmtId="164" fontId="6" fillId="6" borderId="3" xfId="0" applyNumberFormat="1" applyFont="1" applyFill="1" applyBorder="1" applyAlignment="1">
      <alignment horizontal="center"/>
    </xf>
    <xf numFmtId="164" fontId="6" fillId="6" borderId="12" xfId="0" applyNumberFormat="1" applyFont="1" applyFill="1" applyBorder="1" applyAlignment="1">
      <alignment horizontal="center"/>
    </xf>
    <xf numFmtId="164" fontId="6" fillId="6" borderId="5" xfId="0" applyNumberFormat="1" applyFont="1" applyFill="1" applyBorder="1" applyAlignment="1">
      <alignment horizontal="center"/>
    </xf>
    <xf numFmtId="164" fontId="6" fillId="6" borderId="9" xfId="0" applyNumberFormat="1" applyFont="1" applyFill="1" applyBorder="1" applyAlignment="1">
      <alignment horizontal="center"/>
    </xf>
    <xf numFmtId="0" fontId="1" fillId="7" borderId="21" xfId="0" applyFont="1" applyFill="1" applyBorder="1" applyAlignment="1" applyProtection="1">
      <alignment horizontal="center" vertical="center"/>
      <protection locked="0"/>
    </xf>
    <xf numFmtId="0" fontId="1" fillId="7" borderId="22" xfId="0" applyFont="1" applyFill="1" applyBorder="1" applyAlignment="1" applyProtection="1">
      <alignment horizontal="center" vertical="center"/>
      <protection locked="0"/>
    </xf>
    <xf numFmtId="0" fontId="1" fillId="7" borderId="23" xfId="0" applyFont="1" applyFill="1" applyBorder="1" applyAlignment="1" applyProtection="1">
      <alignment horizontal="center" vertical="center"/>
      <protection locked="0"/>
    </xf>
    <xf numFmtId="0" fontId="1" fillId="7" borderId="25" xfId="0" applyFont="1" applyFill="1" applyBorder="1" applyAlignment="1" applyProtection="1">
      <alignment horizontal="center" vertical="center"/>
      <protection locked="0"/>
    </xf>
    <xf numFmtId="0" fontId="1" fillId="7" borderId="24" xfId="0" applyFont="1" applyFill="1" applyBorder="1" applyAlignment="1" applyProtection="1">
      <alignment horizontal="center" vertical="center"/>
      <protection locked="0"/>
    </xf>
    <xf numFmtId="0" fontId="1" fillId="7" borderId="21" xfId="0" applyFont="1" applyFill="1" applyBorder="1" applyAlignment="1" applyProtection="1">
      <alignment horizontal="center"/>
      <protection locked="0"/>
    </xf>
    <xf numFmtId="0" fontId="1" fillId="7" borderId="22" xfId="0" applyFont="1" applyFill="1" applyBorder="1" applyAlignment="1" applyProtection="1">
      <alignment horizontal="center"/>
      <protection locked="0"/>
    </xf>
    <xf numFmtId="0" fontId="1" fillId="7" borderId="23" xfId="0" applyFont="1" applyFill="1" applyBorder="1" applyAlignment="1" applyProtection="1">
      <alignment horizontal="center"/>
      <protection locked="0"/>
    </xf>
    <xf numFmtId="0" fontId="1" fillId="7" borderId="25" xfId="0" applyFont="1" applyFill="1" applyBorder="1" applyAlignment="1" applyProtection="1">
      <alignment horizontal="center"/>
      <protection locked="0"/>
    </xf>
    <xf numFmtId="0" fontId="1" fillId="7" borderId="24" xfId="0" applyFont="1" applyFill="1" applyBorder="1" applyAlignment="1" applyProtection="1">
      <alignment horizontal="center"/>
      <protection locked="0"/>
    </xf>
    <xf numFmtId="2" fontId="7" fillId="2" borderId="18" xfId="0" applyNumberFormat="1" applyFont="1" applyFill="1" applyBorder="1" applyAlignment="1" applyProtection="1">
      <alignment horizontal="center"/>
      <protection locked="0"/>
    </xf>
    <xf numFmtId="2" fontId="7" fillId="2" borderId="14" xfId="0" applyNumberFormat="1" applyFont="1" applyFill="1" applyBorder="1" applyAlignment="1" applyProtection="1">
      <alignment horizontal="center"/>
      <protection locked="0"/>
    </xf>
    <xf numFmtId="164" fontId="7" fillId="8" borderId="6" xfId="0" applyNumberFormat="1" applyFont="1" applyFill="1" applyBorder="1" applyAlignment="1">
      <alignment horizontal="center"/>
    </xf>
    <xf numFmtId="164" fontId="7" fillId="8" borderId="2" xfId="0" applyNumberFormat="1" applyFont="1" applyFill="1" applyBorder="1" applyAlignment="1">
      <alignment horizontal="center"/>
    </xf>
    <xf numFmtId="164" fontId="7" fillId="8" borderId="1" xfId="0" applyNumberFormat="1" applyFont="1" applyFill="1" applyBorder="1" applyAlignment="1">
      <alignment horizontal="center"/>
    </xf>
    <xf numFmtId="0" fontId="9" fillId="2" borderId="0" xfId="0" applyFont="1" applyFill="1" applyProtection="1">
      <protection locked="0"/>
    </xf>
    <xf numFmtId="0" fontId="9" fillId="0" borderId="0" xfId="0" applyFont="1" applyProtection="1">
      <protection locked="0"/>
    </xf>
    <xf numFmtId="0" fontId="0" fillId="0" borderId="0" xfId="0" applyProtection="1">
      <protection locked="0"/>
    </xf>
    <xf numFmtId="2" fontId="1" fillId="2" borderId="12" xfId="0" applyNumberFormat="1" applyFont="1" applyFill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5" fillId="8" borderId="6" xfId="0" applyNumberFormat="1" applyFont="1" applyFill="1" applyBorder="1" applyAlignment="1">
      <alignment horizontal="center"/>
    </xf>
    <xf numFmtId="164" fontId="5" fillId="8" borderId="2" xfId="0" applyNumberFormat="1" applyFont="1" applyFill="1" applyBorder="1" applyAlignment="1">
      <alignment horizontal="center"/>
    </xf>
    <xf numFmtId="164" fontId="5" fillId="8" borderId="1" xfId="0" applyNumberFormat="1" applyFont="1" applyFill="1" applyBorder="1" applyAlignment="1">
      <alignment horizontal="center"/>
    </xf>
    <xf numFmtId="2" fontId="7" fillId="8" borderId="6" xfId="0" applyNumberFormat="1" applyFont="1" applyFill="1" applyBorder="1" applyAlignment="1">
      <alignment horizontal="center"/>
    </xf>
    <xf numFmtId="2" fontId="7" fillId="8" borderId="2" xfId="0" applyNumberFormat="1" applyFont="1" applyFill="1" applyBorder="1" applyAlignment="1">
      <alignment horizontal="center"/>
    </xf>
    <xf numFmtId="2" fontId="7" fillId="8" borderId="1" xfId="0" applyNumberFormat="1" applyFont="1" applyFill="1" applyBorder="1" applyAlignment="1">
      <alignment horizontal="center"/>
    </xf>
    <xf numFmtId="2" fontId="5" fillId="8" borderId="6" xfId="0" applyNumberFormat="1" applyFont="1" applyFill="1" applyBorder="1" applyAlignment="1">
      <alignment horizontal="center"/>
    </xf>
    <xf numFmtId="2" fontId="5" fillId="8" borderId="2" xfId="0" applyNumberFormat="1" applyFont="1" applyFill="1" applyBorder="1" applyAlignment="1">
      <alignment horizontal="center"/>
    </xf>
    <xf numFmtId="2" fontId="5" fillId="8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142875</xdr:colOff>
          <xdr:row>0</xdr:row>
          <xdr:rowOff>57150</xdr:rowOff>
        </xdr:from>
        <xdr:to>
          <xdr:col>0</xdr:col>
          <xdr:colOff>447675</xdr:colOff>
          <xdr:row>1</xdr:row>
          <xdr:rowOff>114300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"/>
  <sheetViews>
    <sheetView tabSelected="1" topLeftCell="A3" zoomScale="120" zoomScaleNormal="120" workbookViewId="0">
      <pane xSplit="1" ySplit="3" topLeftCell="B6" activePane="bottomRight" state="frozen"/>
      <selection activeCell="A3" sqref="A3"/>
      <selection pane="topRight" activeCell="B3" sqref="B3"/>
      <selection pane="bottomLeft" activeCell="A6" sqref="A6"/>
      <selection pane="bottomRight" activeCell="G12" sqref="G12"/>
    </sheetView>
  </sheetViews>
  <sheetFormatPr baseColWidth="10" defaultRowHeight="12.75" x14ac:dyDescent="0.2"/>
  <cols>
    <col min="1" max="1" width="10.5703125" customWidth="1"/>
    <col min="3" max="3" width="11.28515625" customWidth="1"/>
    <col min="4" max="4" width="7.140625" customWidth="1"/>
    <col min="5" max="5" width="8.85546875" customWidth="1"/>
    <col min="6" max="6" width="11.5703125" customWidth="1"/>
    <col min="7" max="7" width="9.140625" customWidth="1"/>
    <col min="8" max="8" width="9.28515625" customWidth="1"/>
    <col min="9" max="9" width="8.7109375" customWidth="1"/>
    <col min="10" max="10" width="8.5703125" customWidth="1"/>
    <col min="11" max="11" width="8.28515625" customWidth="1"/>
    <col min="12" max="12" width="7.7109375" customWidth="1"/>
    <col min="16" max="16" width="6.7109375" customWidth="1"/>
    <col min="19" max="19" width="80.42578125" customWidth="1"/>
  </cols>
  <sheetData>
    <row r="1" spans="1:19" ht="16.5" x14ac:dyDescent="0.25">
      <c r="A1" s="204"/>
      <c r="B1" s="16" t="s">
        <v>24</v>
      </c>
      <c r="C1" s="17"/>
      <c r="D1" s="17"/>
      <c r="E1" s="18"/>
      <c r="F1" s="18"/>
      <c r="G1" s="19"/>
      <c r="H1" s="1"/>
      <c r="I1" s="2"/>
      <c r="J1" s="3" t="s">
        <v>25</v>
      </c>
      <c r="K1" s="2"/>
      <c r="M1" s="2"/>
      <c r="N1" s="1"/>
      <c r="O1" s="4"/>
      <c r="P1" s="2"/>
      <c r="Q1" s="1"/>
      <c r="R1" s="1"/>
      <c r="S1" s="2"/>
    </row>
    <row r="2" spans="1:19" x14ac:dyDescent="0.2">
      <c r="A2" s="205"/>
      <c r="B2" s="209" t="s">
        <v>34</v>
      </c>
      <c r="C2" s="210"/>
      <c r="D2" s="210"/>
      <c r="E2" s="210"/>
      <c r="F2" s="211"/>
      <c r="G2" s="20"/>
      <c r="H2" s="1"/>
      <c r="I2" s="2"/>
      <c r="J2" s="6" t="s">
        <v>28</v>
      </c>
      <c r="K2" s="33">
        <v>21981101</v>
      </c>
      <c r="L2" s="8"/>
      <c r="M2" s="5"/>
      <c r="N2" s="8"/>
      <c r="O2" s="7" t="s">
        <v>64</v>
      </c>
      <c r="P2" s="3"/>
      <c r="Q2" s="4"/>
      <c r="R2" s="4"/>
      <c r="S2" s="9"/>
    </row>
    <row r="3" spans="1:19" ht="57.75" customHeight="1" x14ac:dyDescent="0.2">
      <c r="A3" s="104"/>
      <c r="B3" s="105" t="s">
        <v>67</v>
      </c>
      <c r="C3" s="106"/>
      <c r="D3" s="106"/>
      <c r="E3" s="107"/>
      <c r="F3" s="107"/>
      <c r="G3" s="108"/>
      <c r="H3" s="107"/>
      <c r="I3" s="151" t="s">
        <v>72</v>
      </c>
      <c r="J3" s="110"/>
      <c r="K3" s="111"/>
      <c r="L3" s="112"/>
      <c r="M3" s="109"/>
      <c r="N3" s="113"/>
      <c r="O3" s="114"/>
      <c r="P3" s="115"/>
      <c r="Q3" s="113"/>
      <c r="R3" s="113"/>
      <c r="S3" s="109"/>
    </row>
    <row r="4" spans="1:19" ht="13.5" thickBot="1" x14ac:dyDescent="0.25">
      <c r="A4" s="212" t="s">
        <v>66</v>
      </c>
      <c r="B4" s="213"/>
      <c r="C4" s="213"/>
      <c r="D4" s="213"/>
      <c r="E4" s="213"/>
      <c r="F4" s="213"/>
      <c r="G4" s="213"/>
      <c r="H4" s="213"/>
      <c r="I4" s="150"/>
      <c r="J4" s="119"/>
      <c r="K4" s="120"/>
      <c r="L4" s="121"/>
      <c r="M4" s="120"/>
      <c r="N4" s="122"/>
      <c r="O4" s="123"/>
      <c r="P4" s="118"/>
      <c r="Q4" s="122"/>
      <c r="R4" s="122"/>
      <c r="S4" s="118"/>
    </row>
    <row r="5" spans="1:19" ht="39" thickBot="1" x14ac:dyDescent="0.25">
      <c r="A5" s="139" t="s">
        <v>62</v>
      </c>
      <c r="B5" s="140" t="s">
        <v>0</v>
      </c>
      <c r="C5" s="141" t="s">
        <v>19</v>
      </c>
      <c r="D5" s="142" t="s">
        <v>1</v>
      </c>
      <c r="E5" s="143" t="s">
        <v>2</v>
      </c>
      <c r="F5" s="144" t="s">
        <v>3</v>
      </c>
      <c r="G5" s="140" t="s">
        <v>4</v>
      </c>
      <c r="H5" s="145" t="s">
        <v>5</v>
      </c>
      <c r="I5" s="145" t="s">
        <v>14</v>
      </c>
      <c r="J5" s="146" t="s">
        <v>6</v>
      </c>
      <c r="K5" s="147" t="s">
        <v>7</v>
      </c>
      <c r="L5" s="147" t="s">
        <v>8</v>
      </c>
      <c r="M5" s="147" t="s">
        <v>17</v>
      </c>
      <c r="N5" s="147" t="s">
        <v>18</v>
      </c>
      <c r="O5" s="145" t="s">
        <v>15</v>
      </c>
      <c r="P5" s="145" t="s">
        <v>13</v>
      </c>
      <c r="Q5" s="145" t="s">
        <v>9</v>
      </c>
      <c r="R5" s="148" t="s">
        <v>63</v>
      </c>
      <c r="S5" s="149" t="s">
        <v>10</v>
      </c>
    </row>
    <row r="6" spans="1:19" ht="14.25" customHeight="1" thickBot="1" x14ac:dyDescent="0.25">
      <c r="A6" s="194" t="s">
        <v>20</v>
      </c>
      <c r="B6" s="131" t="s">
        <v>26</v>
      </c>
      <c r="C6" s="45"/>
      <c r="D6" s="89"/>
      <c r="E6" s="84"/>
      <c r="F6" s="79" t="e">
        <f t="shared" ref="F6:F83" si="0">E6/D6</f>
        <v>#DIV/0!</v>
      </c>
      <c r="G6" s="69">
        <v>0</v>
      </c>
      <c r="H6" s="67" t="e">
        <f t="shared" ref="H6:H8" si="1">F6-G6-1.65</f>
        <v>#DIV/0!</v>
      </c>
      <c r="I6" s="70"/>
      <c r="J6" s="38"/>
      <c r="K6" s="94" t="e">
        <f t="shared" ref="K6:K83" si="2">1-(NORMDIST(J6,0,1,TRUE)-NORMDIST(-J6,0,1,TRUE))^I6</f>
        <v>#NUM!</v>
      </c>
      <c r="L6" s="95" t="e">
        <f t="shared" ref="L6:L83" si="3">1-(NORMDIST(J6,H6,1,TRUE)-NORMDIST(-J6,H6,1,TRUE))^I6</f>
        <v>#DIV/0!</v>
      </c>
      <c r="M6" s="206" t="e">
        <f>1-((1-K6)*(1-K7)*(1-K8))</f>
        <v>#NUM!</v>
      </c>
      <c r="N6" s="217" t="e">
        <f>1-((1-L6)*(1-L7)*(1-L8))</f>
        <v>#DIV/0!</v>
      </c>
      <c r="O6" s="67">
        <f t="shared" ref="O6:O83" si="4">C6*(D6/100)*J6</f>
        <v>0</v>
      </c>
      <c r="P6" s="67">
        <f t="shared" ref="P6:P29" si="5">(C6*10)/100</f>
        <v>0</v>
      </c>
      <c r="Q6" s="59" t="e">
        <f t="shared" ref="Q6:Q83" si="6">((O6/3)*100)/C6</f>
        <v>#DIV/0!</v>
      </c>
      <c r="R6" s="189">
        <f>(O6/3)</f>
        <v>0</v>
      </c>
      <c r="S6" s="35"/>
    </row>
    <row r="7" spans="1:19" ht="13.5" thickBot="1" x14ac:dyDescent="0.25">
      <c r="A7" s="195"/>
      <c r="B7" s="116" t="s">
        <v>30</v>
      </c>
      <c r="C7" s="46"/>
      <c r="D7" s="90"/>
      <c r="E7" s="85"/>
      <c r="F7" s="79" t="e">
        <f t="shared" si="0"/>
        <v>#DIV/0!</v>
      </c>
      <c r="G7" s="71">
        <v>0</v>
      </c>
      <c r="H7" s="60" t="e">
        <f t="shared" si="1"/>
        <v>#DIV/0!</v>
      </c>
      <c r="I7" s="72"/>
      <c r="J7" s="39"/>
      <c r="K7" s="96" t="e">
        <f t="shared" si="2"/>
        <v>#NUM!</v>
      </c>
      <c r="L7" s="97" t="e">
        <f t="shared" si="3"/>
        <v>#DIV/0!</v>
      </c>
      <c r="M7" s="207"/>
      <c r="N7" s="218"/>
      <c r="O7" s="60">
        <f t="shared" si="4"/>
        <v>0</v>
      </c>
      <c r="P7" s="62">
        <f>(C7*6.5)/100</f>
        <v>0</v>
      </c>
      <c r="Q7" s="61" t="e">
        <f t="shared" si="6"/>
        <v>#DIV/0!</v>
      </c>
      <c r="R7" s="190">
        <f t="shared" ref="R7:R67" si="7">O7/3</f>
        <v>0</v>
      </c>
      <c r="S7" s="30"/>
    </row>
    <row r="8" spans="1:19" ht="13.5" thickBot="1" x14ac:dyDescent="0.25">
      <c r="A8" s="198"/>
      <c r="B8" s="129" t="s">
        <v>27</v>
      </c>
      <c r="C8" s="49"/>
      <c r="D8" s="93"/>
      <c r="E8" s="87"/>
      <c r="F8" s="79" t="e">
        <f t="shared" si="0"/>
        <v>#DIV/0!</v>
      </c>
      <c r="G8" s="77">
        <v>0</v>
      </c>
      <c r="H8" s="66" t="e">
        <f t="shared" si="1"/>
        <v>#DIV/0!</v>
      </c>
      <c r="I8" s="78"/>
      <c r="J8" s="42"/>
      <c r="K8" s="102" t="e">
        <f t="shared" si="2"/>
        <v>#NUM!</v>
      </c>
      <c r="L8" s="103" t="e">
        <f t="shared" si="3"/>
        <v>#DIV/0!</v>
      </c>
      <c r="M8" s="208"/>
      <c r="N8" s="219"/>
      <c r="O8" s="66">
        <f t="shared" si="4"/>
        <v>0</v>
      </c>
      <c r="P8" s="152">
        <f>(C8*6.5)/100</f>
        <v>0</v>
      </c>
      <c r="Q8" s="65" t="e">
        <f t="shared" si="6"/>
        <v>#DIV/0!</v>
      </c>
      <c r="R8" s="191">
        <f t="shared" si="7"/>
        <v>0</v>
      </c>
      <c r="S8" s="138"/>
    </row>
    <row r="9" spans="1:19" ht="13.5" thickBot="1" x14ac:dyDescent="0.25">
      <c r="A9" s="194" t="s">
        <v>22</v>
      </c>
      <c r="B9" s="131" t="s">
        <v>26</v>
      </c>
      <c r="C9" s="45"/>
      <c r="D9" s="89"/>
      <c r="E9" s="84"/>
      <c r="F9" s="79" t="e">
        <f>E9/D9</f>
        <v>#DIV/0!</v>
      </c>
      <c r="G9" s="69">
        <v>0</v>
      </c>
      <c r="H9" s="67" t="e">
        <f t="shared" ref="H9:H69" si="8">F9-G9-1.65</f>
        <v>#DIV/0!</v>
      </c>
      <c r="I9" s="70"/>
      <c r="J9" s="38"/>
      <c r="K9" s="94" t="e">
        <f t="shared" ref="K9:K69" si="9">1-(NORMDIST(J9,0,1,TRUE)-NORMDIST(-J9,0,1,TRUE))^I9</f>
        <v>#NUM!</v>
      </c>
      <c r="L9" s="95" t="e">
        <f t="shared" ref="L9:L69" si="10">1-(NORMDIST(J9,H9,1,TRUE)-NORMDIST(-J9,H9,1,TRUE))^I9</f>
        <v>#DIV/0!</v>
      </c>
      <c r="M9" s="206" t="e">
        <f t="shared" ref="M9:N9" si="11">1-((1-K9)*(1-K10)*(1-K11))</f>
        <v>#NUM!</v>
      </c>
      <c r="N9" s="217" t="e">
        <f t="shared" si="11"/>
        <v>#DIV/0!</v>
      </c>
      <c r="O9" s="67">
        <f t="shared" si="4"/>
        <v>0</v>
      </c>
      <c r="P9" s="67">
        <f>(C9*4.6)/100</f>
        <v>0</v>
      </c>
      <c r="Q9" s="59" t="e">
        <f t="shared" ref="Q9:Q68" si="12">((O9/3)*100)/C9</f>
        <v>#DIV/0!</v>
      </c>
      <c r="R9" s="189">
        <f t="shared" si="7"/>
        <v>0</v>
      </c>
      <c r="S9" s="34"/>
    </row>
    <row r="10" spans="1:19" ht="13.5" thickBot="1" x14ac:dyDescent="0.25">
      <c r="A10" s="200"/>
      <c r="B10" s="116" t="s">
        <v>30</v>
      </c>
      <c r="C10" s="46"/>
      <c r="D10" s="90"/>
      <c r="E10" s="85"/>
      <c r="F10" s="79" t="e">
        <f t="shared" ref="F10:F29" si="13">E10/D10</f>
        <v>#DIV/0!</v>
      </c>
      <c r="G10" s="71">
        <v>0</v>
      </c>
      <c r="H10" s="60" t="e">
        <f t="shared" si="8"/>
        <v>#DIV/0!</v>
      </c>
      <c r="I10" s="72"/>
      <c r="J10" s="39"/>
      <c r="K10" s="96" t="e">
        <f t="shared" si="9"/>
        <v>#NUM!</v>
      </c>
      <c r="L10" s="97" t="e">
        <f t="shared" si="10"/>
        <v>#DIV/0!</v>
      </c>
      <c r="M10" s="207"/>
      <c r="N10" s="218"/>
      <c r="O10" s="60">
        <f t="shared" si="4"/>
        <v>0</v>
      </c>
      <c r="P10" s="62">
        <f>(C10*4)/100</f>
        <v>0</v>
      </c>
      <c r="Q10" s="61" t="e">
        <f t="shared" si="12"/>
        <v>#DIV/0!</v>
      </c>
      <c r="R10" s="190">
        <f t="shared" si="7"/>
        <v>0</v>
      </c>
      <c r="S10" s="30"/>
    </row>
    <row r="11" spans="1:19" ht="13.5" thickBot="1" x14ac:dyDescent="0.25">
      <c r="A11" s="201"/>
      <c r="B11" s="128" t="s">
        <v>27</v>
      </c>
      <c r="C11" s="47"/>
      <c r="D11" s="91"/>
      <c r="E11" s="86"/>
      <c r="F11" s="79" t="e">
        <f t="shared" si="13"/>
        <v>#DIV/0!</v>
      </c>
      <c r="G11" s="73">
        <v>0</v>
      </c>
      <c r="H11" s="68" t="e">
        <f t="shared" si="8"/>
        <v>#DIV/0!</v>
      </c>
      <c r="I11" s="74"/>
      <c r="J11" s="40"/>
      <c r="K11" s="98" t="e">
        <f t="shared" si="9"/>
        <v>#NUM!</v>
      </c>
      <c r="L11" s="99" t="e">
        <f t="shared" si="10"/>
        <v>#DIV/0!</v>
      </c>
      <c r="M11" s="208"/>
      <c r="N11" s="219"/>
      <c r="O11" s="68">
        <f t="shared" si="4"/>
        <v>0</v>
      </c>
      <c r="P11" s="153">
        <f>(C11*4)/100</f>
        <v>0</v>
      </c>
      <c r="Q11" s="63" t="e">
        <f t="shared" si="12"/>
        <v>#DIV/0!</v>
      </c>
      <c r="R11" s="192">
        <f t="shared" si="7"/>
        <v>0</v>
      </c>
      <c r="S11" s="132"/>
    </row>
    <row r="12" spans="1:19" ht="13.5" thickBot="1" x14ac:dyDescent="0.25">
      <c r="A12" s="197" t="s">
        <v>21</v>
      </c>
      <c r="B12" s="124" t="s">
        <v>26</v>
      </c>
      <c r="C12" s="48"/>
      <c r="D12" s="92"/>
      <c r="E12" s="88"/>
      <c r="F12" s="79" t="e">
        <f t="shared" si="13"/>
        <v>#DIV/0!</v>
      </c>
      <c r="G12" s="75">
        <v>0</v>
      </c>
      <c r="H12" s="62" t="e">
        <f t="shared" si="8"/>
        <v>#DIV/0!</v>
      </c>
      <c r="I12" s="76"/>
      <c r="J12" s="41"/>
      <c r="K12" s="100" t="e">
        <f t="shared" si="9"/>
        <v>#NUM!</v>
      </c>
      <c r="L12" s="101" t="e">
        <f t="shared" si="10"/>
        <v>#DIV/0!</v>
      </c>
      <c r="M12" s="206" t="e">
        <f t="shared" ref="M12:N12" si="14">1-((1-K12)*(1-K13)*(1-K14))</f>
        <v>#NUM!</v>
      </c>
      <c r="N12" s="217" t="e">
        <f t="shared" si="14"/>
        <v>#DIV/0!</v>
      </c>
      <c r="O12" s="62">
        <f t="shared" si="4"/>
        <v>0</v>
      </c>
      <c r="P12" s="62">
        <f>(C12*5)/100</f>
        <v>0</v>
      </c>
      <c r="Q12" s="64" t="e">
        <f t="shared" si="12"/>
        <v>#DIV/0!</v>
      </c>
      <c r="R12" s="193">
        <f t="shared" si="7"/>
        <v>0</v>
      </c>
      <c r="S12" s="44"/>
    </row>
    <row r="13" spans="1:19" ht="13.5" thickBot="1" x14ac:dyDescent="0.25">
      <c r="A13" s="200"/>
      <c r="B13" s="116" t="s">
        <v>30</v>
      </c>
      <c r="C13" s="46"/>
      <c r="D13" s="90"/>
      <c r="E13" s="85"/>
      <c r="F13" s="79" t="e">
        <f t="shared" si="13"/>
        <v>#DIV/0!</v>
      </c>
      <c r="G13" s="71">
        <v>0</v>
      </c>
      <c r="H13" s="60" t="e">
        <f t="shared" si="8"/>
        <v>#DIV/0!</v>
      </c>
      <c r="I13" s="72"/>
      <c r="J13" s="39"/>
      <c r="K13" s="96" t="e">
        <f t="shared" si="9"/>
        <v>#NUM!</v>
      </c>
      <c r="L13" s="97" t="e">
        <f t="shared" si="10"/>
        <v>#DIV/0!</v>
      </c>
      <c r="M13" s="207"/>
      <c r="N13" s="218"/>
      <c r="O13" s="60">
        <f t="shared" si="4"/>
        <v>0</v>
      </c>
      <c r="P13" s="62">
        <f t="shared" ref="P13:P14" si="15">(C13*5)/100</f>
        <v>0</v>
      </c>
      <c r="Q13" s="61" t="e">
        <f t="shared" si="12"/>
        <v>#DIV/0!</v>
      </c>
      <c r="R13" s="190">
        <f t="shared" si="7"/>
        <v>0</v>
      </c>
      <c r="S13" s="31"/>
    </row>
    <row r="14" spans="1:19" ht="13.5" thickBot="1" x14ac:dyDescent="0.25">
      <c r="A14" s="203"/>
      <c r="B14" s="129" t="s">
        <v>27</v>
      </c>
      <c r="C14" s="49"/>
      <c r="D14" s="93"/>
      <c r="E14" s="87"/>
      <c r="F14" s="79" t="e">
        <f t="shared" si="13"/>
        <v>#DIV/0!</v>
      </c>
      <c r="G14" s="77">
        <v>0</v>
      </c>
      <c r="H14" s="66" t="e">
        <f t="shared" si="8"/>
        <v>#DIV/0!</v>
      </c>
      <c r="I14" s="78"/>
      <c r="J14" s="42"/>
      <c r="K14" s="102" t="e">
        <f t="shared" si="9"/>
        <v>#NUM!</v>
      </c>
      <c r="L14" s="103" t="e">
        <f t="shared" si="10"/>
        <v>#DIV/0!</v>
      </c>
      <c r="M14" s="208"/>
      <c r="N14" s="219"/>
      <c r="O14" s="66">
        <f t="shared" si="4"/>
        <v>0</v>
      </c>
      <c r="P14" s="152">
        <f t="shared" si="15"/>
        <v>0</v>
      </c>
      <c r="Q14" s="65" t="e">
        <f t="shared" si="12"/>
        <v>#DIV/0!</v>
      </c>
      <c r="R14" s="191">
        <f t="shared" si="7"/>
        <v>0</v>
      </c>
      <c r="S14" s="32"/>
    </row>
    <row r="15" spans="1:19" ht="13.5" thickBot="1" x14ac:dyDescent="0.25">
      <c r="A15" s="194" t="s">
        <v>32</v>
      </c>
      <c r="B15" s="131" t="s">
        <v>26</v>
      </c>
      <c r="C15" s="161"/>
      <c r="D15" s="89"/>
      <c r="E15" s="84"/>
      <c r="F15" s="79" t="e">
        <f t="shared" si="13"/>
        <v>#DIV/0!</v>
      </c>
      <c r="G15" s="69">
        <v>0</v>
      </c>
      <c r="H15" s="67" t="e">
        <f t="shared" si="8"/>
        <v>#DIV/0!</v>
      </c>
      <c r="I15" s="70"/>
      <c r="J15" s="38"/>
      <c r="K15" s="94" t="e">
        <f t="shared" si="9"/>
        <v>#NUM!</v>
      </c>
      <c r="L15" s="95" t="e">
        <f t="shared" si="10"/>
        <v>#DIV/0!</v>
      </c>
      <c r="M15" s="206" t="e">
        <f t="shared" ref="M15:N15" si="16">1-((1-K15)*(1-K16)*(1-K17))</f>
        <v>#NUM!</v>
      </c>
      <c r="N15" s="217" t="e">
        <f t="shared" si="16"/>
        <v>#DIV/0!</v>
      </c>
      <c r="O15" s="67">
        <f t="shared" si="4"/>
        <v>0</v>
      </c>
      <c r="P15" s="67">
        <f t="shared" si="5"/>
        <v>0</v>
      </c>
      <c r="Q15" s="59" t="e">
        <f t="shared" si="12"/>
        <v>#DIV/0!</v>
      </c>
      <c r="R15" s="189">
        <f t="shared" si="7"/>
        <v>0</v>
      </c>
      <c r="S15" s="35"/>
    </row>
    <row r="16" spans="1:19" ht="13.5" thickBot="1" x14ac:dyDescent="0.25">
      <c r="A16" s="195"/>
      <c r="B16" s="116" t="s">
        <v>30</v>
      </c>
      <c r="C16" s="125"/>
      <c r="D16" s="90"/>
      <c r="E16" s="85"/>
      <c r="F16" s="79" t="e">
        <f t="shared" si="13"/>
        <v>#DIV/0!</v>
      </c>
      <c r="G16" s="71">
        <v>0</v>
      </c>
      <c r="H16" s="60" t="e">
        <f t="shared" si="8"/>
        <v>#DIV/0!</v>
      </c>
      <c r="I16" s="72"/>
      <c r="J16" s="39"/>
      <c r="K16" s="96" t="e">
        <f t="shared" si="9"/>
        <v>#NUM!</v>
      </c>
      <c r="L16" s="97" t="e">
        <f t="shared" si="10"/>
        <v>#DIV/0!</v>
      </c>
      <c r="M16" s="207"/>
      <c r="N16" s="218"/>
      <c r="O16" s="60">
        <f t="shared" si="4"/>
        <v>0</v>
      </c>
      <c r="P16" s="62">
        <f t="shared" si="5"/>
        <v>0</v>
      </c>
      <c r="Q16" s="61" t="e">
        <f t="shared" si="12"/>
        <v>#DIV/0!</v>
      </c>
      <c r="R16" s="190">
        <f t="shared" si="7"/>
        <v>0</v>
      </c>
      <c r="S16" s="37"/>
    </row>
    <row r="17" spans="1:19" ht="13.5" thickBot="1" x14ac:dyDescent="0.25">
      <c r="A17" s="196"/>
      <c r="B17" s="128" t="s">
        <v>27</v>
      </c>
      <c r="C17" s="162"/>
      <c r="D17" s="91"/>
      <c r="E17" s="86"/>
      <c r="F17" s="79" t="e">
        <f t="shared" si="13"/>
        <v>#DIV/0!</v>
      </c>
      <c r="G17" s="73">
        <v>0</v>
      </c>
      <c r="H17" s="68" t="e">
        <f t="shared" si="8"/>
        <v>#DIV/0!</v>
      </c>
      <c r="I17" s="74"/>
      <c r="J17" s="40"/>
      <c r="K17" s="98" t="e">
        <f t="shared" si="9"/>
        <v>#NUM!</v>
      </c>
      <c r="L17" s="99" t="e">
        <f t="shared" si="10"/>
        <v>#DIV/0!</v>
      </c>
      <c r="M17" s="208"/>
      <c r="N17" s="219"/>
      <c r="O17" s="68">
        <f t="shared" si="4"/>
        <v>0</v>
      </c>
      <c r="P17" s="153">
        <f t="shared" si="5"/>
        <v>0</v>
      </c>
      <c r="Q17" s="63" t="e">
        <f t="shared" si="12"/>
        <v>#DIV/0!</v>
      </c>
      <c r="R17" s="192">
        <f t="shared" si="7"/>
        <v>0</v>
      </c>
      <c r="S17" s="132"/>
    </row>
    <row r="18" spans="1:19" ht="13.5" thickBot="1" x14ac:dyDescent="0.25">
      <c r="A18" s="197" t="s">
        <v>23</v>
      </c>
      <c r="B18" s="124" t="s">
        <v>26</v>
      </c>
      <c r="C18" s="51"/>
      <c r="D18" s="92"/>
      <c r="E18" s="88"/>
      <c r="F18" s="79" t="e">
        <f t="shared" si="13"/>
        <v>#DIV/0!</v>
      </c>
      <c r="G18" s="75">
        <v>0</v>
      </c>
      <c r="H18" s="62" t="e">
        <f t="shared" si="8"/>
        <v>#DIV/0!</v>
      </c>
      <c r="I18" s="76"/>
      <c r="J18" s="41"/>
      <c r="K18" s="100" t="e">
        <f t="shared" si="9"/>
        <v>#NUM!</v>
      </c>
      <c r="L18" s="101" t="e">
        <f t="shared" si="10"/>
        <v>#DIV/0!</v>
      </c>
      <c r="M18" s="206" t="e">
        <f t="shared" ref="M18:N18" si="17">1-((1-K18)*(1-K19)*(1-K20))</f>
        <v>#NUM!</v>
      </c>
      <c r="N18" s="217" t="e">
        <f t="shared" si="17"/>
        <v>#DIV/0!</v>
      </c>
      <c r="O18" s="62">
        <f t="shared" si="4"/>
        <v>0</v>
      </c>
      <c r="P18" s="62">
        <f>(C18*5)/100</f>
        <v>0</v>
      </c>
      <c r="Q18" s="64" t="e">
        <f t="shared" si="12"/>
        <v>#DIV/0!</v>
      </c>
      <c r="R18" s="193">
        <f t="shared" si="7"/>
        <v>0</v>
      </c>
      <c r="S18" s="44"/>
    </row>
    <row r="19" spans="1:19" ht="13.5" thickBot="1" x14ac:dyDescent="0.25">
      <c r="A19" s="195"/>
      <c r="B19" s="116" t="s">
        <v>30</v>
      </c>
      <c r="C19" s="50"/>
      <c r="D19" s="90"/>
      <c r="E19" s="85"/>
      <c r="F19" s="79" t="e">
        <f t="shared" si="13"/>
        <v>#DIV/0!</v>
      </c>
      <c r="G19" s="71">
        <v>0</v>
      </c>
      <c r="H19" s="60" t="e">
        <f t="shared" si="8"/>
        <v>#DIV/0!</v>
      </c>
      <c r="I19" s="72"/>
      <c r="J19" s="39"/>
      <c r="K19" s="96" t="e">
        <f t="shared" si="9"/>
        <v>#NUM!</v>
      </c>
      <c r="L19" s="97" t="e">
        <f t="shared" si="10"/>
        <v>#DIV/0!</v>
      </c>
      <c r="M19" s="207"/>
      <c r="N19" s="218"/>
      <c r="O19" s="60">
        <f t="shared" si="4"/>
        <v>0</v>
      </c>
      <c r="P19" s="62">
        <f t="shared" ref="P19:P20" si="18">(C19*5)/100</f>
        <v>0</v>
      </c>
      <c r="Q19" s="61" t="e">
        <f t="shared" si="12"/>
        <v>#DIV/0!</v>
      </c>
      <c r="R19" s="190">
        <f t="shared" si="7"/>
        <v>0</v>
      </c>
      <c r="S19" s="31"/>
    </row>
    <row r="20" spans="1:19" ht="13.5" thickBot="1" x14ac:dyDescent="0.25">
      <c r="A20" s="198"/>
      <c r="B20" s="129" t="s">
        <v>27</v>
      </c>
      <c r="C20" s="52"/>
      <c r="D20" s="93"/>
      <c r="E20" s="87"/>
      <c r="F20" s="79" t="e">
        <f t="shared" si="13"/>
        <v>#DIV/0!</v>
      </c>
      <c r="G20" s="77">
        <v>0</v>
      </c>
      <c r="H20" s="66" t="e">
        <f t="shared" si="8"/>
        <v>#DIV/0!</v>
      </c>
      <c r="I20" s="78"/>
      <c r="J20" s="42"/>
      <c r="K20" s="102" t="e">
        <f t="shared" si="9"/>
        <v>#NUM!</v>
      </c>
      <c r="L20" s="103" t="e">
        <f t="shared" si="10"/>
        <v>#DIV/0!</v>
      </c>
      <c r="M20" s="208"/>
      <c r="N20" s="219"/>
      <c r="O20" s="66">
        <f t="shared" si="4"/>
        <v>0</v>
      </c>
      <c r="P20" s="152">
        <f t="shared" si="18"/>
        <v>0</v>
      </c>
      <c r="Q20" s="65" t="e">
        <f t="shared" si="12"/>
        <v>#DIV/0!</v>
      </c>
      <c r="R20" s="191">
        <f t="shared" si="7"/>
        <v>0</v>
      </c>
      <c r="S20" s="138"/>
    </row>
    <row r="21" spans="1:19" ht="13.5" thickBot="1" x14ac:dyDescent="0.25">
      <c r="A21" s="194" t="s">
        <v>43</v>
      </c>
      <c r="B21" s="131" t="s">
        <v>26</v>
      </c>
      <c r="C21" s="53"/>
      <c r="D21" s="89"/>
      <c r="E21" s="84"/>
      <c r="F21" s="79" t="e">
        <f t="shared" si="13"/>
        <v>#DIV/0!</v>
      </c>
      <c r="G21" s="69">
        <v>0</v>
      </c>
      <c r="H21" s="67" t="e">
        <f t="shared" si="8"/>
        <v>#DIV/0!</v>
      </c>
      <c r="I21" s="70"/>
      <c r="J21" s="38"/>
      <c r="K21" s="94" t="e">
        <f t="shared" si="9"/>
        <v>#NUM!</v>
      </c>
      <c r="L21" s="95" t="e">
        <f t="shared" si="10"/>
        <v>#DIV/0!</v>
      </c>
      <c r="M21" s="206" t="e">
        <f t="shared" ref="M21:N21" si="19">1-((1-K21)*(1-K22)*(1-K23))</f>
        <v>#NUM!</v>
      </c>
      <c r="N21" s="217" t="e">
        <f t="shared" si="19"/>
        <v>#DIV/0!</v>
      </c>
      <c r="O21" s="67">
        <f t="shared" si="4"/>
        <v>0</v>
      </c>
      <c r="P21" s="67">
        <f>(C21*9)/100</f>
        <v>0</v>
      </c>
      <c r="Q21" s="59"/>
      <c r="R21" s="189">
        <f t="shared" si="7"/>
        <v>0</v>
      </c>
      <c r="S21" s="34"/>
    </row>
    <row r="22" spans="1:19" ht="13.5" thickBot="1" x14ac:dyDescent="0.25">
      <c r="A22" s="195"/>
      <c r="B22" s="116" t="s">
        <v>30</v>
      </c>
      <c r="C22" s="50"/>
      <c r="D22" s="90"/>
      <c r="E22" s="85"/>
      <c r="F22" s="79" t="e">
        <f t="shared" si="13"/>
        <v>#DIV/0!</v>
      </c>
      <c r="G22" s="71">
        <v>0</v>
      </c>
      <c r="H22" s="60" t="e">
        <f t="shared" si="8"/>
        <v>#DIV/0!</v>
      </c>
      <c r="I22" s="72"/>
      <c r="J22" s="39"/>
      <c r="K22" s="96" t="e">
        <f t="shared" si="9"/>
        <v>#NUM!</v>
      </c>
      <c r="L22" s="97" t="e">
        <f t="shared" si="10"/>
        <v>#DIV/0!</v>
      </c>
      <c r="M22" s="207"/>
      <c r="N22" s="218"/>
      <c r="O22" s="60">
        <f t="shared" si="4"/>
        <v>0</v>
      </c>
      <c r="P22" s="62">
        <f>(C22*8)/100</f>
        <v>0</v>
      </c>
      <c r="Q22" s="61"/>
      <c r="R22" s="190">
        <f t="shared" si="7"/>
        <v>0</v>
      </c>
      <c r="S22" s="31"/>
    </row>
    <row r="23" spans="1:19" ht="13.5" thickBot="1" x14ac:dyDescent="0.25">
      <c r="A23" s="196"/>
      <c r="B23" s="128" t="s">
        <v>27</v>
      </c>
      <c r="C23" s="54"/>
      <c r="D23" s="91"/>
      <c r="E23" s="86"/>
      <c r="F23" s="79" t="e">
        <f t="shared" si="13"/>
        <v>#DIV/0!</v>
      </c>
      <c r="G23" s="73">
        <v>0</v>
      </c>
      <c r="H23" s="68" t="e">
        <f t="shared" si="8"/>
        <v>#DIV/0!</v>
      </c>
      <c r="I23" s="74"/>
      <c r="J23" s="40"/>
      <c r="K23" s="98" t="e">
        <f t="shared" si="9"/>
        <v>#NUM!</v>
      </c>
      <c r="L23" s="99" t="e">
        <f t="shared" si="10"/>
        <v>#DIV/0!</v>
      </c>
      <c r="M23" s="208"/>
      <c r="N23" s="219"/>
      <c r="O23" s="68">
        <f t="shared" si="4"/>
        <v>0</v>
      </c>
      <c r="P23" s="153">
        <f>(C23*8)/100</f>
        <v>0</v>
      </c>
      <c r="Q23" s="63"/>
      <c r="R23" s="192">
        <f t="shared" si="7"/>
        <v>0</v>
      </c>
      <c r="S23" s="36"/>
    </row>
    <row r="24" spans="1:19" ht="13.5" thickBot="1" x14ac:dyDescent="0.25">
      <c r="A24" s="197" t="s">
        <v>44</v>
      </c>
      <c r="B24" s="124" t="s">
        <v>26</v>
      </c>
      <c r="C24" s="51"/>
      <c r="D24" s="164"/>
      <c r="E24" s="165"/>
      <c r="F24" s="79" t="e">
        <f t="shared" si="13"/>
        <v>#DIV/0!</v>
      </c>
      <c r="G24" s="166">
        <v>0</v>
      </c>
      <c r="H24" s="167" t="e">
        <f t="shared" si="8"/>
        <v>#DIV/0!</v>
      </c>
      <c r="I24" s="168"/>
      <c r="J24" s="41"/>
      <c r="K24" s="169" t="e">
        <f t="shared" si="9"/>
        <v>#NUM!</v>
      </c>
      <c r="L24" s="170" t="e">
        <f t="shared" si="10"/>
        <v>#DIV/0!</v>
      </c>
      <c r="M24" s="214" t="e">
        <f t="shared" ref="M24:N24" si="20">1-((1-K24)*(1-K25)*(1-K26))</f>
        <v>#NUM!</v>
      </c>
      <c r="N24" s="220" t="e">
        <f t="shared" si="20"/>
        <v>#DIV/0!</v>
      </c>
      <c r="O24" s="167">
        <f t="shared" si="4"/>
        <v>0</v>
      </c>
      <c r="P24" s="167">
        <f>(C24*15)/100</f>
        <v>0</v>
      </c>
      <c r="Q24" s="171"/>
      <c r="R24" s="193">
        <f t="shared" si="7"/>
        <v>0</v>
      </c>
      <c r="S24" s="44"/>
    </row>
    <row r="25" spans="1:19" ht="13.5" thickBot="1" x14ac:dyDescent="0.25">
      <c r="A25" s="195"/>
      <c r="B25" s="116" t="s">
        <v>30</v>
      </c>
      <c r="C25" s="50"/>
      <c r="D25" s="172"/>
      <c r="E25" s="173"/>
      <c r="F25" s="79" t="e">
        <f t="shared" si="13"/>
        <v>#DIV/0!</v>
      </c>
      <c r="G25" s="174">
        <v>0</v>
      </c>
      <c r="H25" s="175" t="e">
        <f t="shared" si="8"/>
        <v>#DIV/0!</v>
      </c>
      <c r="I25" s="176"/>
      <c r="J25" s="39"/>
      <c r="K25" s="177" t="e">
        <f t="shared" si="9"/>
        <v>#NUM!</v>
      </c>
      <c r="L25" s="178" t="e">
        <f t="shared" si="10"/>
        <v>#DIV/0!</v>
      </c>
      <c r="M25" s="215"/>
      <c r="N25" s="221"/>
      <c r="O25" s="175">
        <f t="shared" si="4"/>
        <v>0</v>
      </c>
      <c r="P25" s="167">
        <f t="shared" ref="P25:P26" si="21">(C25*14)/100</f>
        <v>0</v>
      </c>
      <c r="Q25" s="179"/>
      <c r="R25" s="190">
        <f t="shared" si="7"/>
        <v>0</v>
      </c>
      <c r="S25" s="30"/>
    </row>
    <row r="26" spans="1:19" ht="13.5" thickBot="1" x14ac:dyDescent="0.25">
      <c r="A26" s="198"/>
      <c r="B26" s="129" t="s">
        <v>27</v>
      </c>
      <c r="C26" s="52"/>
      <c r="D26" s="180"/>
      <c r="E26" s="181"/>
      <c r="F26" s="79" t="e">
        <f t="shared" si="13"/>
        <v>#DIV/0!</v>
      </c>
      <c r="G26" s="182">
        <v>0</v>
      </c>
      <c r="H26" s="183" t="e">
        <f t="shared" si="8"/>
        <v>#DIV/0!</v>
      </c>
      <c r="I26" s="184"/>
      <c r="J26" s="42"/>
      <c r="K26" s="185" t="e">
        <f t="shared" si="9"/>
        <v>#NUM!</v>
      </c>
      <c r="L26" s="186" t="e">
        <f t="shared" si="10"/>
        <v>#DIV/0!</v>
      </c>
      <c r="M26" s="216"/>
      <c r="N26" s="222"/>
      <c r="O26" s="183">
        <f t="shared" si="4"/>
        <v>0</v>
      </c>
      <c r="P26" s="187">
        <f t="shared" si="21"/>
        <v>0</v>
      </c>
      <c r="Q26" s="188"/>
      <c r="R26" s="191">
        <f t="shared" si="7"/>
        <v>0</v>
      </c>
      <c r="S26" s="160"/>
    </row>
    <row r="27" spans="1:19" ht="13.5" thickBot="1" x14ac:dyDescent="0.25">
      <c r="A27" s="194" t="s">
        <v>45</v>
      </c>
      <c r="B27" s="131" t="s">
        <v>26</v>
      </c>
      <c r="C27" s="53"/>
      <c r="D27" s="89"/>
      <c r="E27" s="84"/>
      <c r="F27" s="79" t="e">
        <f t="shared" si="13"/>
        <v>#DIV/0!</v>
      </c>
      <c r="G27" s="69">
        <v>0</v>
      </c>
      <c r="H27" s="67" t="e">
        <f t="shared" si="8"/>
        <v>#DIV/0!</v>
      </c>
      <c r="I27" s="70"/>
      <c r="J27" s="38"/>
      <c r="K27" s="94" t="e">
        <f t="shared" si="9"/>
        <v>#NUM!</v>
      </c>
      <c r="L27" s="95" t="e">
        <f t="shared" si="10"/>
        <v>#DIV/0!</v>
      </c>
      <c r="M27" s="206" t="e">
        <f t="shared" ref="M27:N27" si="22">1-((1-K27)*(1-K28)*(1-K29))</f>
        <v>#NUM!</v>
      </c>
      <c r="N27" s="217" t="e">
        <f t="shared" si="22"/>
        <v>#DIV/0!</v>
      </c>
      <c r="O27" s="67">
        <f t="shared" si="4"/>
        <v>0</v>
      </c>
      <c r="P27" s="67">
        <f t="shared" si="5"/>
        <v>0</v>
      </c>
      <c r="Q27" s="59"/>
      <c r="R27" s="189">
        <f t="shared" si="7"/>
        <v>0</v>
      </c>
      <c r="S27" s="34"/>
    </row>
    <row r="28" spans="1:19" ht="13.5" thickBot="1" x14ac:dyDescent="0.25">
      <c r="A28" s="195"/>
      <c r="B28" s="116" t="s">
        <v>30</v>
      </c>
      <c r="C28" s="50"/>
      <c r="D28" s="90"/>
      <c r="E28" s="85"/>
      <c r="F28" s="79" t="e">
        <f t="shared" si="13"/>
        <v>#DIV/0!</v>
      </c>
      <c r="G28" s="71">
        <v>0</v>
      </c>
      <c r="H28" s="60" t="e">
        <f t="shared" si="8"/>
        <v>#DIV/0!</v>
      </c>
      <c r="I28" s="72"/>
      <c r="J28" s="39"/>
      <c r="K28" s="96" t="e">
        <f t="shared" si="9"/>
        <v>#NUM!</v>
      </c>
      <c r="L28" s="97" t="e">
        <f t="shared" si="10"/>
        <v>#DIV/0!</v>
      </c>
      <c r="M28" s="207"/>
      <c r="N28" s="218"/>
      <c r="O28" s="60">
        <f t="shared" si="4"/>
        <v>0</v>
      </c>
      <c r="P28" s="62">
        <f t="shared" si="5"/>
        <v>0</v>
      </c>
      <c r="Q28" s="61"/>
      <c r="R28" s="190">
        <f t="shared" si="7"/>
        <v>0</v>
      </c>
      <c r="S28" s="31"/>
    </row>
    <row r="29" spans="1:19" ht="13.5" thickBot="1" x14ac:dyDescent="0.25">
      <c r="A29" s="196"/>
      <c r="B29" s="128" t="s">
        <v>27</v>
      </c>
      <c r="C29" s="54"/>
      <c r="D29" s="91"/>
      <c r="E29" s="86"/>
      <c r="F29" s="79" t="e">
        <f t="shared" si="13"/>
        <v>#DIV/0!</v>
      </c>
      <c r="G29" s="73">
        <v>0</v>
      </c>
      <c r="H29" s="68" t="e">
        <f t="shared" si="8"/>
        <v>#DIV/0!</v>
      </c>
      <c r="I29" s="74"/>
      <c r="J29" s="40"/>
      <c r="K29" s="98" t="e">
        <f t="shared" si="9"/>
        <v>#NUM!</v>
      </c>
      <c r="L29" s="99" t="e">
        <f t="shared" si="10"/>
        <v>#DIV/0!</v>
      </c>
      <c r="M29" s="208"/>
      <c r="N29" s="219"/>
      <c r="O29" s="68">
        <f t="shared" si="4"/>
        <v>0</v>
      </c>
      <c r="P29" s="153">
        <f t="shared" si="5"/>
        <v>0</v>
      </c>
      <c r="Q29" s="63"/>
      <c r="R29" s="192">
        <f t="shared" si="7"/>
        <v>0</v>
      </c>
      <c r="S29" s="36"/>
    </row>
    <row r="30" spans="1:19" x14ac:dyDescent="0.2">
      <c r="A30" s="197" t="s">
        <v>46</v>
      </c>
      <c r="B30" s="124" t="s">
        <v>26</v>
      </c>
      <c r="C30" s="51"/>
      <c r="D30" s="92"/>
      <c r="E30" s="88"/>
      <c r="F30" s="83" t="e">
        <f t="shared" ref="F30:F69" si="23">E30/D30</f>
        <v>#DIV/0!</v>
      </c>
      <c r="G30" s="75">
        <v>0</v>
      </c>
      <c r="H30" s="62" t="e">
        <f t="shared" si="8"/>
        <v>#DIV/0!</v>
      </c>
      <c r="I30" s="76"/>
      <c r="J30" s="41"/>
      <c r="K30" s="100" t="e">
        <f t="shared" si="9"/>
        <v>#NUM!</v>
      </c>
      <c r="L30" s="101" t="e">
        <f t="shared" si="10"/>
        <v>#DIV/0!</v>
      </c>
      <c r="M30" s="206" t="e">
        <f t="shared" ref="M30:N30" si="24">1-((1-K30)*(1-K31)*(1-K32))</f>
        <v>#NUM!</v>
      </c>
      <c r="N30" s="217" t="e">
        <f t="shared" si="24"/>
        <v>#DIV/0!</v>
      </c>
      <c r="O30" s="62">
        <f t="shared" si="4"/>
        <v>0</v>
      </c>
      <c r="P30" s="62">
        <f>(C30*20)/100</f>
        <v>0</v>
      </c>
      <c r="Q30" s="64"/>
      <c r="R30" s="193">
        <f t="shared" si="7"/>
        <v>0</v>
      </c>
      <c r="S30" s="130"/>
    </row>
    <row r="31" spans="1:19" x14ac:dyDescent="0.2">
      <c r="A31" s="195"/>
      <c r="B31" s="116" t="s">
        <v>30</v>
      </c>
      <c r="C31" s="50"/>
      <c r="D31" s="90"/>
      <c r="E31" s="85"/>
      <c r="F31" s="80" t="e">
        <f t="shared" si="23"/>
        <v>#DIV/0!</v>
      </c>
      <c r="G31" s="71">
        <v>0</v>
      </c>
      <c r="H31" s="60" t="e">
        <f t="shared" si="8"/>
        <v>#DIV/0!</v>
      </c>
      <c r="I31" s="72"/>
      <c r="J31" s="39"/>
      <c r="K31" s="96" t="e">
        <f t="shared" si="9"/>
        <v>#NUM!</v>
      </c>
      <c r="L31" s="97" t="e">
        <f t="shared" si="10"/>
        <v>#DIV/0!</v>
      </c>
      <c r="M31" s="207"/>
      <c r="N31" s="218"/>
      <c r="O31" s="60">
        <f t="shared" si="4"/>
        <v>0</v>
      </c>
      <c r="P31" s="62">
        <f>(C31*9)/100</f>
        <v>0</v>
      </c>
      <c r="Q31" s="61"/>
      <c r="R31" s="190">
        <f t="shared" si="7"/>
        <v>0</v>
      </c>
      <c r="S31" s="130"/>
    </row>
    <row r="32" spans="1:19" ht="13.5" thickBot="1" x14ac:dyDescent="0.25">
      <c r="A32" s="198"/>
      <c r="B32" s="129" t="s">
        <v>27</v>
      </c>
      <c r="C32" s="52"/>
      <c r="D32" s="93"/>
      <c r="E32" s="87"/>
      <c r="F32" s="82" t="e">
        <f t="shared" si="23"/>
        <v>#DIV/0!</v>
      </c>
      <c r="G32" s="77">
        <v>0</v>
      </c>
      <c r="H32" s="66" t="e">
        <f t="shared" si="8"/>
        <v>#DIV/0!</v>
      </c>
      <c r="I32" s="78"/>
      <c r="J32" s="42"/>
      <c r="K32" s="102" t="e">
        <f t="shared" si="9"/>
        <v>#NUM!</v>
      </c>
      <c r="L32" s="103" t="e">
        <f t="shared" si="10"/>
        <v>#DIV/0!</v>
      </c>
      <c r="M32" s="208"/>
      <c r="N32" s="219"/>
      <c r="O32" s="66">
        <f t="shared" si="4"/>
        <v>0</v>
      </c>
      <c r="P32" s="152">
        <f>(C32*9.7)/100</f>
        <v>0</v>
      </c>
      <c r="Q32" s="65"/>
      <c r="R32" s="191">
        <f t="shared" si="7"/>
        <v>0</v>
      </c>
      <c r="S32" s="130"/>
    </row>
    <row r="33" spans="1:19" x14ac:dyDescent="0.2">
      <c r="A33" s="194" t="s">
        <v>47</v>
      </c>
      <c r="B33" s="131" t="s">
        <v>26</v>
      </c>
      <c r="C33" s="45"/>
      <c r="D33" s="89"/>
      <c r="E33" s="84"/>
      <c r="F33" s="79" t="e">
        <f t="shared" si="23"/>
        <v>#DIV/0!</v>
      </c>
      <c r="G33" s="69">
        <v>0</v>
      </c>
      <c r="H33" s="67" t="e">
        <f t="shared" si="8"/>
        <v>#DIV/0!</v>
      </c>
      <c r="I33" s="70"/>
      <c r="J33" s="38"/>
      <c r="K33" s="94" t="e">
        <f t="shared" si="9"/>
        <v>#NUM!</v>
      </c>
      <c r="L33" s="95" t="e">
        <f t="shared" si="10"/>
        <v>#DIV/0!</v>
      </c>
      <c r="M33" s="206" t="e">
        <f t="shared" ref="M33:N33" si="25">1-((1-K33)*(1-K34)*(1-K35))</f>
        <v>#NUM!</v>
      </c>
      <c r="N33" s="217" t="e">
        <f t="shared" si="25"/>
        <v>#DIV/0!</v>
      </c>
      <c r="O33" s="67">
        <f t="shared" si="4"/>
        <v>0</v>
      </c>
      <c r="P33" s="67">
        <f>(C33*50)/100</f>
        <v>0</v>
      </c>
      <c r="Q33" s="59"/>
      <c r="R33" s="189">
        <f t="shared" si="7"/>
        <v>0</v>
      </c>
      <c r="S33" s="34"/>
    </row>
    <row r="34" spans="1:19" x14ac:dyDescent="0.2">
      <c r="A34" s="195"/>
      <c r="B34" s="116" t="s">
        <v>30</v>
      </c>
      <c r="C34" s="46"/>
      <c r="D34" s="90"/>
      <c r="E34" s="85"/>
      <c r="F34" s="80" t="e">
        <f t="shared" si="23"/>
        <v>#DIV/0!</v>
      </c>
      <c r="G34" s="71">
        <v>0</v>
      </c>
      <c r="H34" s="60" t="e">
        <f t="shared" si="8"/>
        <v>#DIV/0!</v>
      </c>
      <c r="I34" s="72"/>
      <c r="J34" s="39"/>
      <c r="K34" s="96" t="e">
        <f t="shared" si="9"/>
        <v>#NUM!</v>
      </c>
      <c r="L34" s="97" t="e">
        <f t="shared" si="10"/>
        <v>#DIV/0!</v>
      </c>
      <c r="M34" s="207"/>
      <c r="N34" s="218"/>
      <c r="O34" s="60">
        <f t="shared" si="4"/>
        <v>0</v>
      </c>
      <c r="P34" s="62">
        <f t="shared" ref="P34:P35" si="26">(C34*50)/100</f>
        <v>0</v>
      </c>
      <c r="Q34" s="61"/>
      <c r="R34" s="190">
        <f t="shared" si="7"/>
        <v>0</v>
      </c>
      <c r="S34" s="31"/>
    </row>
    <row r="35" spans="1:19" ht="13.5" thickBot="1" x14ac:dyDescent="0.25">
      <c r="A35" s="196"/>
      <c r="B35" s="128" t="s">
        <v>27</v>
      </c>
      <c r="C35" s="47"/>
      <c r="D35" s="91"/>
      <c r="E35" s="86"/>
      <c r="F35" s="81" t="e">
        <f t="shared" si="23"/>
        <v>#DIV/0!</v>
      </c>
      <c r="G35" s="73">
        <v>0</v>
      </c>
      <c r="H35" s="68" t="e">
        <f t="shared" si="8"/>
        <v>#DIV/0!</v>
      </c>
      <c r="I35" s="74"/>
      <c r="J35" s="40"/>
      <c r="K35" s="98" t="e">
        <f t="shared" si="9"/>
        <v>#NUM!</v>
      </c>
      <c r="L35" s="99" t="e">
        <f t="shared" si="10"/>
        <v>#DIV/0!</v>
      </c>
      <c r="M35" s="208"/>
      <c r="N35" s="219"/>
      <c r="O35" s="68">
        <f t="shared" si="4"/>
        <v>0</v>
      </c>
      <c r="P35" s="153">
        <f t="shared" si="26"/>
        <v>0</v>
      </c>
      <c r="Q35" s="63"/>
      <c r="R35" s="192">
        <f t="shared" si="7"/>
        <v>0</v>
      </c>
      <c r="S35" s="36"/>
    </row>
    <row r="36" spans="1:19" x14ac:dyDescent="0.2">
      <c r="A36" s="197" t="s">
        <v>48</v>
      </c>
      <c r="B36" s="124" t="s">
        <v>26</v>
      </c>
      <c r="C36" s="48"/>
      <c r="D36" s="92"/>
      <c r="E36" s="88"/>
      <c r="F36" s="83" t="e">
        <f t="shared" ref="F36:F41" si="27">E36/D36</f>
        <v>#DIV/0!</v>
      </c>
      <c r="G36" s="75">
        <v>0</v>
      </c>
      <c r="H36" s="62" t="e">
        <f t="shared" si="8"/>
        <v>#DIV/0!</v>
      </c>
      <c r="I36" s="76"/>
      <c r="J36" s="41"/>
      <c r="K36" s="100" t="e">
        <f>1-(NORMDIST(J36,0,1,TRUE)-NORMDIST(-J36,0,1,TRUE))^I36</f>
        <v>#NUM!</v>
      </c>
      <c r="L36" s="101" t="e">
        <f>1-(NORMDIST(J36,H36,1,TRUE)-NORMDIST(-J36,H36,1,TRUE))^I36</f>
        <v>#DIV/0!</v>
      </c>
      <c r="M36" s="206" t="e">
        <f t="shared" ref="M36:N36" si="28">1-((1-K36)*(1-K37)*(1-K38))</f>
        <v>#NUM!</v>
      </c>
      <c r="N36" s="217" t="e">
        <f t="shared" si="28"/>
        <v>#DIV/0!</v>
      </c>
      <c r="O36" s="62">
        <f t="shared" si="4"/>
        <v>0</v>
      </c>
      <c r="P36" s="62">
        <f>(C36*10)/100</f>
        <v>0</v>
      </c>
      <c r="Q36" s="64" t="e">
        <f>((O36/3)*100)/C36</f>
        <v>#DIV/0!</v>
      </c>
      <c r="R36" s="193">
        <f t="shared" si="7"/>
        <v>0</v>
      </c>
      <c r="S36" s="44"/>
    </row>
    <row r="37" spans="1:19" ht="14.25" customHeight="1" x14ac:dyDescent="0.2">
      <c r="A37" s="195"/>
      <c r="B37" s="116" t="s">
        <v>30</v>
      </c>
      <c r="C37" s="46"/>
      <c r="D37" s="90"/>
      <c r="E37" s="85"/>
      <c r="F37" s="80" t="e">
        <f t="shared" si="27"/>
        <v>#DIV/0!</v>
      </c>
      <c r="G37" s="71">
        <v>0</v>
      </c>
      <c r="H37" s="60" t="e">
        <f t="shared" si="8"/>
        <v>#DIV/0!</v>
      </c>
      <c r="I37" s="72"/>
      <c r="J37" s="39"/>
      <c r="K37" s="96" t="e">
        <f>1-(NORMDIST(J37,0,1,TRUE)-NORMDIST(-J37,0,1,TRUE))^I37</f>
        <v>#NUM!</v>
      </c>
      <c r="L37" s="97" t="e">
        <f>1-(NORMDIST(J37,H37,1,TRUE)-NORMDIST(-J37,H37,1,TRUE))^I37</f>
        <v>#DIV/0!</v>
      </c>
      <c r="M37" s="207"/>
      <c r="N37" s="218"/>
      <c r="O37" s="60">
        <f t="shared" si="4"/>
        <v>0</v>
      </c>
      <c r="P37" s="62">
        <f t="shared" ref="P37:P38" si="29">(C37*10)/100</f>
        <v>0</v>
      </c>
      <c r="Q37" s="61" t="e">
        <f>((O37/3)*100)/C37</f>
        <v>#DIV/0!</v>
      </c>
      <c r="R37" s="190">
        <f t="shared" si="7"/>
        <v>0</v>
      </c>
      <c r="S37" s="37"/>
    </row>
    <row r="38" spans="1:19" ht="13.5" thickBot="1" x14ac:dyDescent="0.25">
      <c r="A38" s="198"/>
      <c r="B38" s="129" t="s">
        <v>27</v>
      </c>
      <c r="C38" s="49"/>
      <c r="D38" s="93"/>
      <c r="E38" s="87"/>
      <c r="F38" s="82" t="e">
        <f t="shared" si="27"/>
        <v>#DIV/0!</v>
      </c>
      <c r="G38" s="77">
        <v>0</v>
      </c>
      <c r="H38" s="66" t="e">
        <f t="shared" si="8"/>
        <v>#DIV/0!</v>
      </c>
      <c r="I38" s="78"/>
      <c r="J38" s="42"/>
      <c r="K38" s="102" t="e">
        <f>1-(NORMDIST(J38,0,1,TRUE)-NORMDIST(-J38,0,1,TRUE))^I38</f>
        <v>#NUM!</v>
      </c>
      <c r="L38" s="103" t="e">
        <f>1-(NORMDIST(J38,H38,1,TRUE)-NORMDIST(-J38,H38,1,TRUE))^I38</f>
        <v>#DIV/0!</v>
      </c>
      <c r="M38" s="208"/>
      <c r="N38" s="219"/>
      <c r="O38" s="66">
        <f t="shared" si="4"/>
        <v>0</v>
      </c>
      <c r="P38" s="152">
        <f t="shared" si="29"/>
        <v>0</v>
      </c>
      <c r="Q38" s="65" t="e">
        <f>((O38/3)*100)/C38</f>
        <v>#DIV/0!</v>
      </c>
      <c r="R38" s="191">
        <f t="shared" si="7"/>
        <v>0</v>
      </c>
      <c r="S38" s="32"/>
    </row>
    <row r="39" spans="1:19" ht="13.5" thickBot="1" x14ac:dyDescent="0.25">
      <c r="A39" s="194" t="s">
        <v>49</v>
      </c>
      <c r="B39" s="131" t="s">
        <v>26</v>
      </c>
      <c r="C39" s="53"/>
      <c r="D39" s="89"/>
      <c r="E39" s="84"/>
      <c r="F39" s="79" t="e">
        <f t="shared" si="27"/>
        <v>#DIV/0!</v>
      </c>
      <c r="G39" s="69">
        <v>0</v>
      </c>
      <c r="H39" s="67" t="e">
        <f t="shared" si="8"/>
        <v>#DIV/0!</v>
      </c>
      <c r="I39" s="70"/>
      <c r="J39" s="38"/>
      <c r="K39" s="94" t="e">
        <f t="shared" ref="K39:K41" si="30">1-(NORMDIST(J39,0,1,TRUE)-NORMDIST(-J39,0,1,TRUE))^I39</f>
        <v>#NUM!</v>
      </c>
      <c r="L39" s="95" t="e">
        <f t="shared" ref="L39:L41" si="31">1-(NORMDIST(J39,H39,1,TRUE)-NORMDIST(-J39,H39,1,TRUE))^I39</f>
        <v>#DIV/0!</v>
      </c>
      <c r="M39" s="206" t="e">
        <f t="shared" ref="M39:N39" si="32">1-((1-K39)*(1-K40)*(1-K41))</f>
        <v>#NUM!</v>
      </c>
      <c r="N39" s="217" t="e">
        <f t="shared" si="32"/>
        <v>#DIV/0!</v>
      </c>
      <c r="O39" s="67">
        <f t="shared" si="4"/>
        <v>0</v>
      </c>
      <c r="P39" s="67">
        <f>(C39*50)/100</f>
        <v>0</v>
      </c>
      <c r="Q39" s="59"/>
      <c r="R39" s="189">
        <f t="shared" si="7"/>
        <v>0</v>
      </c>
      <c r="S39" s="34"/>
    </row>
    <row r="40" spans="1:19" ht="13.5" thickBot="1" x14ac:dyDescent="0.25">
      <c r="A40" s="195"/>
      <c r="B40" s="116" t="s">
        <v>30</v>
      </c>
      <c r="C40" s="50"/>
      <c r="D40" s="90"/>
      <c r="E40" s="85"/>
      <c r="F40" s="80" t="e">
        <f t="shared" si="27"/>
        <v>#DIV/0!</v>
      </c>
      <c r="G40" s="71">
        <v>0</v>
      </c>
      <c r="H40" s="60" t="e">
        <f t="shared" si="8"/>
        <v>#DIV/0!</v>
      </c>
      <c r="I40" s="72"/>
      <c r="J40" s="39"/>
      <c r="K40" s="96" t="e">
        <f t="shared" si="30"/>
        <v>#NUM!</v>
      </c>
      <c r="L40" s="97" t="e">
        <f t="shared" si="31"/>
        <v>#DIV/0!</v>
      </c>
      <c r="M40" s="207"/>
      <c r="N40" s="218"/>
      <c r="O40" s="60">
        <f t="shared" si="4"/>
        <v>0</v>
      </c>
      <c r="P40" s="62">
        <f t="shared" ref="P40:P41" si="33">(C40*50)/100</f>
        <v>0</v>
      </c>
      <c r="Q40" s="61"/>
      <c r="R40" s="190">
        <f t="shared" si="7"/>
        <v>0</v>
      </c>
      <c r="S40" s="34"/>
    </row>
    <row r="41" spans="1:19" ht="13.5" thickBot="1" x14ac:dyDescent="0.25">
      <c r="A41" s="196"/>
      <c r="B41" s="128" t="s">
        <v>27</v>
      </c>
      <c r="C41" s="54"/>
      <c r="D41" s="91"/>
      <c r="E41" s="86"/>
      <c r="F41" s="81" t="e">
        <f t="shared" si="27"/>
        <v>#DIV/0!</v>
      </c>
      <c r="G41" s="73">
        <v>0</v>
      </c>
      <c r="H41" s="68" t="e">
        <f t="shared" si="8"/>
        <v>#DIV/0!</v>
      </c>
      <c r="I41" s="74"/>
      <c r="J41" s="40"/>
      <c r="K41" s="98" t="e">
        <f t="shared" si="30"/>
        <v>#NUM!</v>
      </c>
      <c r="L41" s="99" t="e">
        <f t="shared" si="31"/>
        <v>#DIV/0!</v>
      </c>
      <c r="M41" s="208"/>
      <c r="N41" s="219"/>
      <c r="O41" s="68">
        <f t="shared" si="4"/>
        <v>0</v>
      </c>
      <c r="P41" s="153">
        <f t="shared" si="33"/>
        <v>0</v>
      </c>
      <c r="Q41" s="63"/>
      <c r="R41" s="192">
        <f t="shared" si="7"/>
        <v>0</v>
      </c>
      <c r="S41" s="34"/>
    </row>
    <row r="42" spans="1:19" x14ac:dyDescent="0.2">
      <c r="A42" s="197" t="s">
        <v>29</v>
      </c>
      <c r="B42" s="124" t="s">
        <v>26</v>
      </c>
      <c r="C42" s="51"/>
      <c r="D42" s="92"/>
      <c r="E42" s="88"/>
      <c r="F42" s="83" t="e">
        <f t="shared" si="23"/>
        <v>#DIV/0!</v>
      </c>
      <c r="G42" s="75">
        <v>0</v>
      </c>
      <c r="H42" s="62" t="e">
        <f t="shared" si="8"/>
        <v>#DIV/0!</v>
      </c>
      <c r="I42" s="76"/>
      <c r="J42" s="41"/>
      <c r="K42" s="100" t="e">
        <f t="shared" si="9"/>
        <v>#NUM!</v>
      </c>
      <c r="L42" s="101" t="e">
        <f t="shared" si="10"/>
        <v>#DIV/0!</v>
      </c>
      <c r="M42" s="206" t="e">
        <f t="shared" ref="M42:N42" si="34">1-((1-K42)*(1-K43)*(1-K44))</f>
        <v>#NUM!</v>
      </c>
      <c r="N42" s="217" t="e">
        <f t="shared" si="34"/>
        <v>#DIV/0!</v>
      </c>
      <c r="O42" s="62">
        <f t="shared" si="4"/>
        <v>0</v>
      </c>
      <c r="P42" s="62">
        <f>(C42*40)/100</f>
        <v>0</v>
      </c>
      <c r="Q42" s="64" t="e">
        <f t="shared" si="12"/>
        <v>#DIV/0!</v>
      </c>
      <c r="R42" s="193">
        <f t="shared" si="7"/>
        <v>0</v>
      </c>
      <c r="S42" s="44"/>
    </row>
    <row r="43" spans="1:19" x14ac:dyDescent="0.2">
      <c r="A43" s="200"/>
      <c r="B43" s="116" t="s">
        <v>30</v>
      </c>
      <c r="C43" s="55"/>
      <c r="D43" s="90"/>
      <c r="E43" s="85"/>
      <c r="F43" s="80" t="e">
        <f t="shared" si="23"/>
        <v>#DIV/0!</v>
      </c>
      <c r="G43" s="71">
        <v>0</v>
      </c>
      <c r="H43" s="60" t="e">
        <f t="shared" si="8"/>
        <v>#DIV/0!</v>
      </c>
      <c r="I43" s="72"/>
      <c r="J43" s="39"/>
      <c r="K43" s="96" t="e">
        <f t="shared" si="9"/>
        <v>#NUM!</v>
      </c>
      <c r="L43" s="97" t="e">
        <f t="shared" si="10"/>
        <v>#DIV/0!</v>
      </c>
      <c r="M43" s="207"/>
      <c r="N43" s="218"/>
      <c r="O43" s="60">
        <f t="shared" si="4"/>
        <v>0</v>
      </c>
      <c r="P43" s="62">
        <f>(C43*30)/100</f>
        <v>0</v>
      </c>
      <c r="Q43" s="61" t="e">
        <f t="shared" si="12"/>
        <v>#DIV/0!</v>
      </c>
      <c r="R43" s="190">
        <f t="shared" si="7"/>
        <v>0</v>
      </c>
      <c r="S43" s="31"/>
    </row>
    <row r="44" spans="1:19" ht="13.5" thickBot="1" x14ac:dyDescent="0.25">
      <c r="A44" s="203"/>
      <c r="B44" s="129" t="s">
        <v>27</v>
      </c>
      <c r="C44" s="57"/>
      <c r="D44" s="93"/>
      <c r="E44" s="87"/>
      <c r="F44" s="82" t="e">
        <f t="shared" si="23"/>
        <v>#DIV/0!</v>
      </c>
      <c r="G44" s="77">
        <v>0</v>
      </c>
      <c r="H44" s="66" t="e">
        <f t="shared" si="8"/>
        <v>#DIV/0!</v>
      </c>
      <c r="I44" s="78"/>
      <c r="J44" s="158"/>
      <c r="K44" s="102" t="e">
        <f t="shared" si="9"/>
        <v>#NUM!</v>
      </c>
      <c r="L44" s="103" t="e">
        <f t="shared" si="10"/>
        <v>#DIV/0!</v>
      </c>
      <c r="M44" s="208"/>
      <c r="N44" s="219"/>
      <c r="O44" s="66">
        <f t="shared" si="4"/>
        <v>0</v>
      </c>
      <c r="P44" s="152">
        <f>(C44*15)/100</f>
        <v>0</v>
      </c>
      <c r="Q44" s="65" t="e">
        <f t="shared" si="12"/>
        <v>#DIV/0!</v>
      </c>
      <c r="R44" s="191">
        <f t="shared" si="7"/>
        <v>0</v>
      </c>
      <c r="S44" s="32"/>
    </row>
    <row r="45" spans="1:19" ht="17.25" customHeight="1" x14ac:dyDescent="0.2">
      <c r="A45" s="194" t="s">
        <v>50</v>
      </c>
      <c r="B45" s="131" t="s">
        <v>26</v>
      </c>
      <c r="C45" s="53"/>
      <c r="D45" s="89"/>
      <c r="E45" s="84"/>
      <c r="F45" s="82" t="e">
        <f t="shared" si="23"/>
        <v>#DIV/0!</v>
      </c>
      <c r="G45" s="69">
        <v>0</v>
      </c>
      <c r="H45" s="67" t="e">
        <f t="shared" si="8"/>
        <v>#DIV/0!</v>
      </c>
      <c r="I45" s="70"/>
      <c r="J45" s="38"/>
      <c r="K45" s="94" t="e">
        <f t="shared" si="9"/>
        <v>#NUM!</v>
      </c>
      <c r="L45" s="95" t="e">
        <f t="shared" si="10"/>
        <v>#DIV/0!</v>
      </c>
      <c r="M45" s="206" t="e">
        <f t="shared" ref="M45:N45" si="35">1-((1-K45)*(1-K46)*(1-K47))</f>
        <v>#NUM!</v>
      </c>
      <c r="N45" s="217" t="e">
        <f t="shared" si="35"/>
        <v>#DIV/0!</v>
      </c>
      <c r="O45" s="67">
        <f t="shared" si="4"/>
        <v>0</v>
      </c>
      <c r="P45" s="67">
        <f>(C45*40)/100</f>
        <v>0</v>
      </c>
      <c r="Q45" s="59" t="e">
        <f t="shared" si="12"/>
        <v>#DIV/0!</v>
      </c>
      <c r="R45" s="189">
        <f t="shared" si="7"/>
        <v>0</v>
      </c>
      <c r="S45" s="35"/>
    </row>
    <row r="46" spans="1:19" x14ac:dyDescent="0.2">
      <c r="A46" s="195"/>
      <c r="B46" s="116" t="s">
        <v>30</v>
      </c>
      <c r="C46" s="55"/>
      <c r="D46" s="90"/>
      <c r="E46" s="85"/>
      <c r="F46" s="82" t="e">
        <f t="shared" si="23"/>
        <v>#DIV/0!</v>
      </c>
      <c r="G46" s="71">
        <v>0</v>
      </c>
      <c r="H46" s="60" t="e">
        <f t="shared" si="8"/>
        <v>#DIV/0!</v>
      </c>
      <c r="I46" s="72"/>
      <c r="J46" s="39"/>
      <c r="K46" s="96" t="e">
        <f t="shared" si="9"/>
        <v>#NUM!</v>
      </c>
      <c r="L46" s="97" t="e">
        <f t="shared" si="10"/>
        <v>#DIV/0!</v>
      </c>
      <c r="M46" s="207"/>
      <c r="N46" s="218"/>
      <c r="O46" s="60">
        <f t="shared" si="4"/>
        <v>0</v>
      </c>
      <c r="P46" s="62">
        <f>(C46*15)/100</f>
        <v>0</v>
      </c>
      <c r="Q46" s="61" t="e">
        <f t="shared" si="12"/>
        <v>#DIV/0!</v>
      </c>
      <c r="R46" s="190">
        <f t="shared" si="7"/>
        <v>0</v>
      </c>
      <c r="S46" s="31"/>
    </row>
    <row r="47" spans="1:19" ht="13.5" thickBot="1" x14ac:dyDescent="0.25">
      <c r="A47" s="196"/>
      <c r="B47" s="128" t="s">
        <v>27</v>
      </c>
      <c r="C47" s="56"/>
      <c r="D47" s="91"/>
      <c r="E47" s="86"/>
      <c r="F47" s="82" t="e">
        <f t="shared" si="23"/>
        <v>#DIV/0!</v>
      </c>
      <c r="G47" s="73">
        <v>0</v>
      </c>
      <c r="H47" s="68" t="e">
        <f t="shared" si="8"/>
        <v>#DIV/0!</v>
      </c>
      <c r="I47" s="74"/>
      <c r="J47" s="40"/>
      <c r="K47" s="98" t="e">
        <f t="shared" si="9"/>
        <v>#NUM!</v>
      </c>
      <c r="L47" s="99" t="e">
        <f t="shared" si="10"/>
        <v>#DIV/0!</v>
      </c>
      <c r="M47" s="208"/>
      <c r="N47" s="219"/>
      <c r="O47" s="68">
        <f t="shared" si="4"/>
        <v>0</v>
      </c>
      <c r="P47" s="153">
        <f>(C47*9)/100</f>
        <v>0</v>
      </c>
      <c r="Q47" s="63" t="e">
        <f t="shared" si="12"/>
        <v>#DIV/0!</v>
      </c>
      <c r="R47" s="192">
        <f t="shared" si="7"/>
        <v>0</v>
      </c>
      <c r="S47" s="137"/>
    </row>
    <row r="48" spans="1:19" x14ac:dyDescent="0.2">
      <c r="A48" s="197" t="s">
        <v>51</v>
      </c>
      <c r="B48" s="124" t="s">
        <v>26</v>
      </c>
      <c r="C48" s="159"/>
      <c r="D48" s="92"/>
      <c r="E48" s="88"/>
      <c r="F48" s="83" t="e">
        <f t="shared" ref="F48:F53" si="36">E48/D48</f>
        <v>#DIV/0!</v>
      </c>
      <c r="G48" s="75">
        <v>0</v>
      </c>
      <c r="H48" s="62" t="e">
        <f t="shared" si="8"/>
        <v>#DIV/0!</v>
      </c>
      <c r="I48" s="76"/>
      <c r="J48" s="41"/>
      <c r="K48" s="100" t="e">
        <f t="shared" si="9"/>
        <v>#NUM!</v>
      </c>
      <c r="L48" s="101" t="e">
        <f t="shared" si="10"/>
        <v>#DIV/0!</v>
      </c>
      <c r="M48" s="206" t="e">
        <f t="shared" ref="M48:N48" si="37">1-((1-K48)*(1-K49)*(1-K50))</f>
        <v>#NUM!</v>
      </c>
      <c r="N48" s="217" t="e">
        <f t="shared" si="37"/>
        <v>#DIV/0!</v>
      </c>
      <c r="O48" s="62">
        <f t="shared" si="4"/>
        <v>0</v>
      </c>
      <c r="P48" s="62">
        <f>(C48*40)/100</f>
        <v>0</v>
      </c>
      <c r="Q48" s="64"/>
      <c r="R48" s="193">
        <f t="shared" si="7"/>
        <v>0</v>
      </c>
      <c r="S48" s="136"/>
    </row>
    <row r="49" spans="1:19" x14ac:dyDescent="0.2">
      <c r="A49" s="195"/>
      <c r="B49" s="116" t="s">
        <v>30</v>
      </c>
      <c r="C49" s="55"/>
      <c r="D49" s="90"/>
      <c r="E49" s="85"/>
      <c r="F49" s="80" t="e">
        <f t="shared" si="36"/>
        <v>#DIV/0!</v>
      </c>
      <c r="G49" s="71">
        <v>0</v>
      </c>
      <c r="H49" s="60" t="e">
        <f t="shared" si="8"/>
        <v>#DIV/0!</v>
      </c>
      <c r="I49" s="72"/>
      <c r="J49" s="39"/>
      <c r="K49" s="96" t="e">
        <f t="shared" si="9"/>
        <v>#NUM!</v>
      </c>
      <c r="L49" s="97" t="e">
        <f t="shared" si="10"/>
        <v>#DIV/0!</v>
      </c>
      <c r="M49" s="207"/>
      <c r="N49" s="218"/>
      <c r="O49" s="60">
        <f t="shared" si="4"/>
        <v>0</v>
      </c>
      <c r="P49" s="62">
        <f>(C49*30)/100</f>
        <v>0</v>
      </c>
      <c r="Q49" s="61"/>
      <c r="R49" s="190">
        <f t="shared" si="7"/>
        <v>0</v>
      </c>
      <c r="S49" s="127"/>
    </row>
    <row r="50" spans="1:19" ht="13.5" thickBot="1" x14ac:dyDescent="0.25">
      <c r="A50" s="198"/>
      <c r="B50" s="129" t="s">
        <v>27</v>
      </c>
      <c r="C50" s="57"/>
      <c r="D50" s="93"/>
      <c r="E50" s="87"/>
      <c r="F50" s="82" t="e">
        <f t="shared" si="36"/>
        <v>#DIV/0!</v>
      </c>
      <c r="G50" s="77">
        <v>0</v>
      </c>
      <c r="H50" s="66" t="e">
        <f t="shared" si="8"/>
        <v>#DIV/0!</v>
      </c>
      <c r="I50" s="78"/>
      <c r="J50" s="42"/>
      <c r="K50" s="102" t="e">
        <f t="shared" si="9"/>
        <v>#NUM!</v>
      </c>
      <c r="L50" s="103" t="e">
        <f t="shared" si="10"/>
        <v>#DIV/0!</v>
      </c>
      <c r="M50" s="208"/>
      <c r="N50" s="219"/>
      <c r="O50" s="66">
        <f t="shared" si="4"/>
        <v>0</v>
      </c>
      <c r="P50" s="152">
        <f>(C50*15)/100</f>
        <v>0</v>
      </c>
      <c r="Q50" s="65"/>
      <c r="R50" s="191">
        <f t="shared" si="7"/>
        <v>0</v>
      </c>
      <c r="S50" s="134"/>
    </row>
    <row r="51" spans="1:19" x14ac:dyDescent="0.2">
      <c r="A51" s="194" t="s">
        <v>52</v>
      </c>
      <c r="B51" s="131" t="s">
        <v>26</v>
      </c>
      <c r="C51" s="45"/>
      <c r="D51" s="89"/>
      <c r="E51" s="84"/>
      <c r="F51" s="79" t="e">
        <f t="shared" si="36"/>
        <v>#DIV/0!</v>
      </c>
      <c r="G51" s="69">
        <v>0</v>
      </c>
      <c r="H51" s="67" t="e">
        <f t="shared" si="8"/>
        <v>#DIV/0!</v>
      </c>
      <c r="I51" s="70"/>
      <c r="J51" s="38"/>
      <c r="K51" s="94" t="e">
        <f t="shared" si="9"/>
        <v>#NUM!</v>
      </c>
      <c r="L51" s="95" t="e">
        <f t="shared" si="10"/>
        <v>#DIV/0!</v>
      </c>
      <c r="M51" s="206" t="e">
        <f t="shared" ref="M51:N51" si="38">1-((1-K51)*(1-K52)*(1-K53))</f>
        <v>#NUM!</v>
      </c>
      <c r="N51" s="217" t="e">
        <f t="shared" si="38"/>
        <v>#DIV/0!</v>
      </c>
      <c r="O51" s="67">
        <f t="shared" si="4"/>
        <v>0</v>
      </c>
      <c r="P51" s="67">
        <f>(C51*40)/100</f>
        <v>0</v>
      </c>
      <c r="Q51" s="59"/>
      <c r="R51" s="189">
        <f t="shared" si="7"/>
        <v>0</v>
      </c>
      <c r="S51" s="135"/>
    </row>
    <row r="52" spans="1:19" x14ac:dyDescent="0.2">
      <c r="A52" s="195"/>
      <c r="B52" s="116" t="s">
        <v>30</v>
      </c>
      <c r="C52" s="46"/>
      <c r="D52" s="90"/>
      <c r="E52" s="85"/>
      <c r="F52" s="80" t="e">
        <f t="shared" si="36"/>
        <v>#DIV/0!</v>
      </c>
      <c r="G52" s="71">
        <v>0</v>
      </c>
      <c r="H52" s="60" t="e">
        <f t="shared" si="8"/>
        <v>#DIV/0!</v>
      </c>
      <c r="I52" s="72"/>
      <c r="J52" s="39"/>
      <c r="K52" s="96" t="e">
        <f t="shared" si="9"/>
        <v>#NUM!</v>
      </c>
      <c r="L52" s="97" t="e">
        <f t="shared" si="10"/>
        <v>#DIV/0!</v>
      </c>
      <c r="M52" s="207"/>
      <c r="N52" s="218"/>
      <c r="O52" s="60">
        <f t="shared" si="4"/>
        <v>0</v>
      </c>
      <c r="P52" s="62">
        <f>(C52*20)/100</f>
        <v>0</v>
      </c>
      <c r="Q52" s="61"/>
      <c r="R52" s="190">
        <f t="shared" si="7"/>
        <v>0</v>
      </c>
      <c r="S52" s="127"/>
    </row>
    <row r="53" spans="1:19" ht="13.5" thickBot="1" x14ac:dyDescent="0.25">
      <c r="A53" s="196"/>
      <c r="B53" s="128" t="s">
        <v>27</v>
      </c>
      <c r="C53" s="47"/>
      <c r="D53" s="91"/>
      <c r="E53" s="86"/>
      <c r="F53" s="81" t="e">
        <f t="shared" si="36"/>
        <v>#DIV/0!</v>
      </c>
      <c r="G53" s="73">
        <v>0</v>
      </c>
      <c r="H53" s="68" t="e">
        <f t="shared" si="8"/>
        <v>#DIV/0!</v>
      </c>
      <c r="I53" s="74"/>
      <c r="J53" s="40"/>
      <c r="K53" s="98" t="e">
        <f t="shared" si="9"/>
        <v>#NUM!</v>
      </c>
      <c r="L53" s="99" t="e">
        <f t="shared" si="10"/>
        <v>#DIV/0!</v>
      </c>
      <c r="M53" s="208"/>
      <c r="N53" s="219"/>
      <c r="O53" s="68">
        <f t="shared" si="4"/>
        <v>0</v>
      </c>
      <c r="P53" s="153">
        <f>(C53*20)/100</f>
        <v>0</v>
      </c>
      <c r="Q53" s="63"/>
      <c r="R53" s="192">
        <f t="shared" si="7"/>
        <v>0</v>
      </c>
      <c r="S53" s="137"/>
    </row>
    <row r="54" spans="1:19" x14ac:dyDescent="0.2">
      <c r="A54" s="197" t="s">
        <v>53</v>
      </c>
      <c r="B54" s="124" t="s">
        <v>26</v>
      </c>
      <c r="C54" s="48"/>
      <c r="D54" s="92"/>
      <c r="E54" s="88"/>
      <c r="F54" s="83" t="e">
        <f t="shared" si="23"/>
        <v>#DIV/0!</v>
      </c>
      <c r="G54" s="75">
        <v>0</v>
      </c>
      <c r="H54" s="62" t="e">
        <f t="shared" si="8"/>
        <v>#DIV/0!</v>
      </c>
      <c r="I54" s="76"/>
      <c r="J54" s="41"/>
      <c r="K54" s="100" t="e">
        <f t="shared" si="9"/>
        <v>#NUM!</v>
      </c>
      <c r="L54" s="101" t="e">
        <f t="shared" si="10"/>
        <v>#DIV/0!</v>
      </c>
      <c r="M54" s="206" t="e">
        <f t="shared" ref="M54:N54" si="39">1-((1-K54)*(1-K55)*(1-K56))</f>
        <v>#NUM!</v>
      </c>
      <c r="N54" s="217" t="e">
        <f t="shared" si="39"/>
        <v>#DIV/0!</v>
      </c>
      <c r="O54" s="62">
        <f t="shared" si="4"/>
        <v>0</v>
      </c>
      <c r="P54" s="62">
        <f>(C54*20)/100</f>
        <v>0</v>
      </c>
      <c r="Q54" s="64" t="e">
        <f t="shared" si="12"/>
        <v>#DIV/0!</v>
      </c>
      <c r="R54" s="193">
        <f t="shared" si="7"/>
        <v>0</v>
      </c>
      <c r="S54" s="136"/>
    </row>
    <row r="55" spans="1:19" x14ac:dyDescent="0.2">
      <c r="A55" s="195"/>
      <c r="B55" s="116" t="s">
        <v>30</v>
      </c>
      <c r="C55" s="46"/>
      <c r="D55" s="90"/>
      <c r="E55" s="85"/>
      <c r="F55" s="80" t="e">
        <f t="shared" si="23"/>
        <v>#DIV/0!</v>
      </c>
      <c r="G55" s="71">
        <v>0</v>
      </c>
      <c r="H55" s="60" t="e">
        <f t="shared" si="8"/>
        <v>#DIV/0!</v>
      </c>
      <c r="I55" s="72"/>
      <c r="J55" s="39"/>
      <c r="K55" s="96" t="e">
        <f t="shared" si="9"/>
        <v>#NUM!</v>
      </c>
      <c r="L55" s="97" t="e">
        <f t="shared" si="10"/>
        <v>#DIV/0!</v>
      </c>
      <c r="M55" s="207"/>
      <c r="N55" s="218"/>
      <c r="O55" s="60">
        <f t="shared" si="4"/>
        <v>0</v>
      </c>
      <c r="P55" s="62">
        <f>(C55*15)/100</f>
        <v>0</v>
      </c>
      <c r="Q55" s="61" t="e">
        <f t="shared" si="12"/>
        <v>#DIV/0!</v>
      </c>
      <c r="R55" s="190">
        <f t="shared" si="7"/>
        <v>0</v>
      </c>
      <c r="S55" s="30"/>
    </row>
    <row r="56" spans="1:19" ht="14.25" customHeight="1" thickBot="1" x14ac:dyDescent="0.25">
      <c r="A56" s="198"/>
      <c r="B56" s="129" t="s">
        <v>27</v>
      </c>
      <c r="C56" s="49"/>
      <c r="D56" s="93"/>
      <c r="E56" s="87"/>
      <c r="F56" s="82" t="e">
        <f t="shared" si="23"/>
        <v>#DIV/0!</v>
      </c>
      <c r="G56" s="77">
        <v>0</v>
      </c>
      <c r="H56" s="66" t="e">
        <f t="shared" si="8"/>
        <v>#DIV/0!</v>
      </c>
      <c r="I56" s="78"/>
      <c r="J56" s="42"/>
      <c r="K56" s="102" t="e">
        <f t="shared" si="9"/>
        <v>#NUM!</v>
      </c>
      <c r="L56" s="103" t="e">
        <f t="shared" si="10"/>
        <v>#DIV/0!</v>
      </c>
      <c r="M56" s="208"/>
      <c r="N56" s="219"/>
      <c r="O56" s="66">
        <f t="shared" si="4"/>
        <v>0</v>
      </c>
      <c r="P56" s="152">
        <f>(C56*15)/100</f>
        <v>0</v>
      </c>
      <c r="Q56" s="65" t="e">
        <f t="shared" si="12"/>
        <v>#DIV/0!</v>
      </c>
      <c r="R56" s="191">
        <f t="shared" si="7"/>
        <v>0</v>
      </c>
      <c r="S56" s="134"/>
    </row>
    <row r="57" spans="1:19" ht="14.25" customHeight="1" x14ac:dyDescent="0.2">
      <c r="A57" s="194" t="s">
        <v>54</v>
      </c>
      <c r="B57" s="131" t="s">
        <v>26</v>
      </c>
      <c r="C57" s="45"/>
      <c r="D57" s="89"/>
      <c r="E57" s="84"/>
      <c r="F57" s="79" t="e">
        <f t="shared" si="23"/>
        <v>#DIV/0!</v>
      </c>
      <c r="G57" s="69">
        <v>0</v>
      </c>
      <c r="H57" s="67" t="e">
        <f t="shared" si="8"/>
        <v>#DIV/0!</v>
      </c>
      <c r="I57" s="70"/>
      <c r="J57" s="38"/>
      <c r="K57" s="94" t="e">
        <f t="shared" si="9"/>
        <v>#NUM!</v>
      </c>
      <c r="L57" s="95" t="e">
        <f t="shared" si="10"/>
        <v>#DIV/0!</v>
      </c>
      <c r="M57" s="206" t="e">
        <f t="shared" ref="M57:N57" si="40">1-((1-K57)*(1-K58)*(1-K59))</f>
        <v>#NUM!</v>
      </c>
      <c r="N57" s="217" t="e">
        <f t="shared" si="40"/>
        <v>#DIV/0!</v>
      </c>
      <c r="O57" s="67">
        <f t="shared" si="4"/>
        <v>0</v>
      </c>
      <c r="P57" s="67">
        <f>(C57*80)/100</f>
        <v>0</v>
      </c>
      <c r="Q57" s="59"/>
      <c r="R57" s="189">
        <f t="shared" si="7"/>
        <v>0</v>
      </c>
      <c r="S57" s="135"/>
    </row>
    <row r="58" spans="1:19" ht="14.25" customHeight="1" x14ac:dyDescent="0.2">
      <c r="A58" s="195"/>
      <c r="B58" s="116" t="s">
        <v>30</v>
      </c>
      <c r="C58" s="46"/>
      <c r="D58" s="90"/>
      <c r="E58" s="85"/>
      <c r="F58" s="80" t="e">
        <f t="shared" si="23"/>
        <v>#DIV/0!</v>
      </c>
      <c r="G58" s="71">
        <v>0</v>
      </c>
      <c r="H58" s="60" t="e">
        <f t="shared" si="8"/>
        <v>#DIV/0!</v>
      </c>
      <c r="I58" s="72"/>
      <c r="J58" s="39"/>
      <c r="K58" s="96" t="e">
        <f t="shared" si="9"/>
        <v>#NUM!</v>
      </c>
      <c r="L58" s="97" t="e">
        <f t="shared" si="10"/>
        <v>#DIV/0!</v>
      </c>
      <c r="M58" s="207"/>
      <c r="N58" s="218"/>
      <c r="O58" s="60">
        <f t="shared" si="4"/>
        <v>0</v>
      </c>
      <c r="P58" s="62">
        <f>(C58*60)/100</f>
        <v>0</v>
      </c>
      <c r="Q58" s="61"/>
      <c r="R58" s="190">
        <f t="shared" si="7"/>
        <v>0</v>
      </c>
      <c r="S58" s="127"/>
    </row>
    <row r="59" spans="1:19" ht="14.25" customHeight="1" thickBot="1" x14ac:dyDescent="0.25">
      <c r="A59" s="196"/>
      <c r="B59" s="128" t="s">
        <v>27</v>
      </c>
      <c r="C59" s="47"/>
      <c r="D59" s="91"/>
      <c r="E59" s="86"/>
      <c r="F59" s="81" t="e">
        <f t="shared" si="23"/>
        <v>#DIV/0!</v>
      </c>
      <c r="G59" s="73">
        <v>0</v>
      </c>
      <c r="H59" s="68" t="e">
        <f t="shared" si="8"/>
        <v>#DIV/0!</v>
      </c>
      <c r="I59" s="74"/>
      <c r="J59" s="40"/>
      <c r="K59" s="98" t="e">
        <f t="shared" si="9"/>
        <v>#NUM!</v>
      </c>
      <c r="L59" s="99" t="e">
        <f t="shared" si="10"/>
        <v>#DIV/0!</v>
      </c>
      <c r="M59" s="208"/>
      <c r="N59" s="219"/>
      <c r="O59" s="68">
        <f t="shared" si="4"/>
        <v>0</v>
      </c>
      <c r="P59" s="153">
        <f>(C59*50)/100</f>
        <v>0</v>
      </c>
      <c r="Q59" s="63"/>
      <c r="R59" s="192">
        <f t="shared" si="7"/>
        <v>0</v>
      </c>
      <c r="S59" s="137"/>
    </row>
    <row r="60" spans="1:19" ht="14.25" customHeight="1" x14ac:dyDescent="0.2">
      <c r="A60" s="197" t="s">
        <v>55</v>
      </c>
      <c r="B60" s="124" t="s">
        <v>26</v>
      </c>
      <c r="C60" s="48"/>
      <c r="D60" s="92"/>
      <c r="E60" s="88"/>
      <c r="F60" s="83" t="e">
        <f t="shared" si="23"/>
        <v>#DIV/0!</v>
      </c>
      <c r="G60" s="75">
        <v>0</v>
      </c>
      <c r="H60" s="62" t="e">
        <f t="shared" si="8"/>
        <v>#DIV/0!</v>
      </c>
      <c r="I60" s="76"/>
      <c r="J60" s="41"/>
      <c r="K60" s="100" t="e">
        <f t="shared" si="9"/>
        <v>#NUM!</v>
      </c>
      <c r="L60" s="101" t="e">
        <f t="shared" si="10"/>
        <v>#DIV/0!</v>
      </c>
      <c r="M60" s="206" t="e">
        <f t="shared" ref="M60:N60" si="41">1-((1-K60)*(1-K61)*(1-K62))</f>
        <v>#NUM!</v>
      </c>
      <c r="N60" s="217" t="e">
        <f t="shared" si="41"/>
        <v>#DIV/0!</v>
      </c>
      <c r="O60" s="62">
        <f t="shared" si="4"/>
        <v>0</v>
      </c>
      <c r="P60" s="62">
        <f>(C60*60)/100</f>
        <v>0</v>
      </c>
      <c r="Q60" s="64"/>
      <c r="R60" s="193">
        <f t="shared" si="7"/>
        <v>0</v>
      </c>
      <c r="S60" s="136"/>
    </row>
    <row r="61" spans="1:19" ht="14.25" customHeight="1" x14ac:dyDescent="0.2">
      <c r="A61" s="195"/>
      <c r="B61" s="116" t="s">
        <v>30</v>
      </c>
      <c r="C61" s="46"/>
      <c r="D61" s="90"/>
      <c r="E61" s="85"/>
      <c r="F61" s="80" t="e">
        <f t="shared" si="23"/>
        <v>#DIV/0!</v>
      </c>
      <c r="G61" s="71">
        <v>0</v>
      </c>
      <c r="H61" s="60" t="e">
        <f t="shared" si="8"/>
        <v>#DIV/0!</v>
      </c>
      <c r="I61" s="72"/>
      <c r="J61" s="39"/>
      <c r="K61" s="96" t="e">
        <f t="shared" si="9"/>
        <v>#NUM!</v>
      </c>
      <c r="L61" s="97" t="e">
        <f t="shared" si="10"/>
        <v>#DIV/0!</v>
      </c>
      <c r="M61" s="207"/>
      <c r="N61" s="218"/>
      <c r="O61" s="60">
        <f t="shared" si="4"/>
        <v>0</v>
      </c>
      <c r="P61" s="62">
        <f>(C61*50)/100</f>
        <v>0</v>
      </c>
      <c r="Q61" s="61"/>
      <c r="R61" s="190">
        <f t="shared" si="7"/>
        <v>0</v>
      </c>
      <c r="S61" s="127"/>
    </row>
    <row r="62" spans="1:19" ht="14.25" customHeight="1" thickBot="1" x14ac:dyDescent="0.25">
      <c r="A62" s="198"/>
      <c r="B62" s="129" t="s">
        <v>27</v>
      </c>
      <c r="C62" s="49"/>
      <c r="D62" s="93"/>
      <c r="E62" s="87"/>
      <c r="F62" s="82" t="e">
        <f t="shared" si="23"/>
        <v>#DIV/0!</v>
      </c>
      <c r="G62" s="77">
        <v>0</v>
      </c>
      <c r="H62" s="66" t="e">
        <f t="shared" si="8"/>
        <v>#DIV/0!</v>
      </c>
      <c r="I62" s="78"/>
      <c r="J62" s="42"/>
      <c r="K62" s="102" t="e">
        <f t="shared" si="9"/>
        <v>#NUM!</v>
      </c>
      <c r="L62" s="103" t="e">
        <f t="shared" si="10"/>
        <v>#DIV/0!</v>
      </c>
      <c r="M62" s="208"/>
      <c r="N62" s="219"/>
      <c r="O62" s="66">
        <f t="shared" si="4"/>
        <v>0</v>
      </c>
      <c r="P62" s="152">
        <f>(C62*50)/100</f>
        <v>0</v>
      </c>
      <c r="Q62" s="65"/>
      <c r="R62" s="191">
        <f t="shared" si="7"/>
        <v>0</v>
      </c>
      <c r="S62" s="134"/>
    </row>
    <row r="63" spans="1:19" ht="14.25" customHeight="1" x14ac:dyDescent="0.2">
      <c r="A63" s="194" t="s">
        <v>56</v>
      </c>
      <c r="B63" s="131" t="s">
        <v>26</v>
      </c>
      <c r="C63" s="45"/>
      <c r="D63" s="89"/>
      <c r="E63" s="84"/>
      <c r="F63" s="79" t="e">
        <f t="shared" si="23"/>
        <v>#DIV/0!</v>
      </c>
      <c r="G63" s="69">
        <v>0</v>
      </c>
      <c r="H63" s="67" t="e">
        <f t="shared" si="8"/>
        <v>#DIV/0!</v>
      </c>
      <c r="I63" s="70"/>
      <c r="J63" s="38"/>
      <c r="K63" s="94" t="e">
        <f t="shared" si="9"/>
        <v>#NUM!</v>
      </c>
      <c r="L63" s="95" t="e">
        <f t="shared" si="10"/>
        <v>#DIV/0!</v>
      </c>
      <c r="M63" s="206" t="e">
        <f t="shared" ref="M63:N63" si="42">1-((1-K63)*(1-K64)*(1-K65))</f>
        <v>#NUM!</v>
      </c>
      <c r="N63" s="217" t="e">
        <f t="shared" si="42"/>
        <v>#DIV/0!</v>
      </c>
      <c r="O63" s="67">
        <f t="shared" si="4"/>
        <v>0</v>
      </c>
      <c r="P63" s="67">
        <f>(C63*78)/100</f>
        <v>0</v>
      </c>
      <c r="Q63" s="59"/>
      <c r="R63" s="189">
        <f t="shared" si="7"/>
        <v>0</v>
      </c>
      <c r="S63" s="135"/>
    </row>
    <row r="64" spans="1:19" ht="14.25" customHeight="1" x14ac:dyDescent="0.2">
      <c r="A64" s="195"/>
      <c r="B64" s="116" t="s">
        <v>30</v>
      </c>
      <c r="C64" s="46"/>
      <c r="D64" s="90"/>
      <c r="E64" s="85"/>
      <c r="F64" s="80" t="e">
        <f t="shared" si="23"/>
        <v>#DIV/0!</v>
      </c>
      <c r="G64" s="71">
        <v>0</v>
      </c>
      <c r="H64" s="60" t="e">
        <f t="shared" si="8"/>
        <v>#DIV/0!</v>
      </c>
      <c r="I64" s="72"/>
      <c r="J64" s="39"/>
      <c r="K64" s="96" t="e">
        <f t="shared" si="9"/>
        <v>#NUM!</v>
      </c>
      <c r="L64" s="97" t="e">
        <f t="shared" si="10"/>
        <v>#DIV/0!</v>
      </c>
      <c r="M64" s="207"/>
      <c r="N64" s="218"/>
      <c r="O64" s="60">
        <f t="shared" si="4"/>
        <v>0</v>
      </c>
      <c r="P64" s="62">
        <f t="shared" ref="P64:P65" si="43">(C64*78)/100</f>
        <v>0</v>
      </c>
      <c r="Q64" s="61"/>
      <c r="R64" s="190">
        <f t="shared" si="7"/>
        <v>0</v>
      </c>
      <c r="S64" s="127"/>
    </row>
    <row r="65" spans="1:19" ht="14.25" customHeight="1" thickBot="1" x14ac:dyDescent="0.25">
      <c r="A65" s="196"/>
      <c r="B65" s="128" t="s">
        <v>27</v>
      </c>
      <c r="C65" s="47"/>
      <c r="D65" s="91"/>
      <c r="E65" s="86"/>
      <c r="F65" s="81" t="e">
        <f t="shared" si="23"/>
        <v>#DIV/0!</v>
      </c>
      <c r="G65" s="73">
        <v>0</v>
      </c>
      <c r="H65" s="68" t="e">
        <f t="shared" si="8"/>
        <v>#DIV/0!</v>
      </c>
      <c r="I65" s="74"/>
      <c r="J65" s="40"/>
      <c r="K65" s="98" t="e">
        <f t="shared" si="9"/>
        <v>#NUM!</v>
      </c>
      <c r="L65" s="99" t="e">
        <f t="shared" si="10"/>
        <v>#DIV/0!</v>
      </c>
      <c r="M65" s="208"/>
      <c r="N65" s="219"/>
      <c r="O65" s="68">
        <f t="shared" si="4"/>
        <v>0</v>
      </c>
      <c r="P65" s="153">
        <f t="shared" si="43"/>
        <v>0</v>
      </c>
      <c r="Q65" s="63"/>
      <c r="R65" s="192">
        <f t="shared" si="7"/>
        <v>0</v>
      </c>
      <c r="S65" s="137"/>
    </row>
    <row r="66" spans="1:19" ht="17.25" customHeight="1" x14ac:dyDescent="0.2">
      <c r="A66" s="197" t="s">
        <v>57</v>
      </c>
      <c r="B66" s="124" t="s">
        <v>26</v>
      </c>
      <c r="C66" s="156"/>
      <c r="D66" s="92"/>
      <c r="E66" s="88"/>
      <c r="F66" s="83" t="e">
        <f t="shared" si="23"/>
        <v>#DIV/0!</v>
      </c>
      <c r="G66" s="75">
        <v>0</v>
      </c>
      <c r="H66" s="62" t="e">
        <f t="shared" si="8"/>
        <v>#DIV/0!</v>
      </c>
      <c r="I66" s="76"/>
      <c r="J66" s="41"/>
      <c r="K66" s="100" t="e">
        <f t="shared" si="9"/>
        <v>#NUM!</v>
      </c>
      <c r="L66" s="101" t="e">
        <f t="shared" si="10"/>
        <v>#DIV/0!</v>
      </c>
      <c r="M66" s="206" t="e">
        <f t="shared" ref="M66:N66" si="44">1-((1-K66)*(1-K67)*(1-K68))</f>
        <v>#NUM!</v>
      </c>
      <c r="N66" s="217" t="e">
        <f t="shared" si="44"/>
        <v>#DIV/0!</v>
      </c>
      <c r="O66" s="157">
        <f t="shared" si="4"/>
        <v>0</v>
      </c>
      <c r="P66" s="62">
        <f>(C66*30)/100</f>
        <v>0</v>
      </c>
      <c r="Q66" s="64" t="e">
        <f t="shared" si="12"/>
        <v>#DIV/0!</v>
      </c>
      <c r="R66" s="193">
        <f t="shared" si="7"/>
        <v>0</v>
      </c>
      <c r="S66" s="136"/>
    </row>
    <row r="67" spans="1:19" x14ac:dyDescent="0.2">
      <c r="A67" s="200"/>
      <c r="B67" s="116" t="s">
        <v>30</v>
      </c>
      <c r="C67" s="58"/>
      <c r="D67" s="90"/>
      <c r="E67" s="85"/>
      <c r="F67" s="80" t="e">
        <f t="shared" si="23"/>
        <v>#DIV/0!</v>
      </c>
      <c r="G67" s="71">
        <v>0</v>
      </c>
      <c r="H67" s="60" t="e">
        <f t="shared" si="8"/>
        <v>#DIV/0!</v>
      </c>
      <c r="I67" s="72"/>
      <c r="J67" s="39"/>
      <c r="K67" s="96" t="e">
        <f t="shared" si="9"/>
        <v>#NUM!</v>
      </c>
      <c r="L67" s="97" t="e">
        <f t="shared" si="10"/>
        <v>#DIV/0!</v>
      </c>
      <c r="M67" s="207"/>
      <c r="N67" s="218"/>
      <c r="O67" s="117">
        <f t="shared" si="4"/>
        <v>0</v>
      </c>
      <c r="P67" s="62">
        <f t="shared" ref="P67:P68" si="45">(C67*30)/100</f>
        <v>0</v>
      </c>
      <c r="Q67" s="61" t="e">
        <f t="shared" si="12"/>
        <v>#DIV/0!</v>
      </c>
      <c r="R67" s="190">
        <f t="shared" si="7"/>
        <v>0</v>
      </c>
      <c r="S67" s="37"/>
    </row>
    <row r="68" spans="1:19" ht="13.5" thickBot="1" x14ac:dyDescent="0.25">
      <c r="A68" s="203"/>
      <c r="B68" s="129" t="s">
        <v>27</v>
      </c>
      <c r="C68" s="154"/>
      <c r="D68" s="93"/>
      <c r="E68" s="87"/>
      <c r="F68" s="82" t="e">
        <f t="shared" si="23"/>
        <v>#DIV/0!</v>
      </c>
      <c r="G68" s="77">
        <v>0</v>
      </c>
      <c r="H68" s="66" t="e">
        <f t="shared" si="8"/>
        <v>#DIV/0!</v>
      </c>
      <c r="I68" s="78"/>
      <c r="J68" s="42"/>
      <c r="K68" s="102" t="e">
        <f t="shared" si="9"/>
        <v>#NUM!</v>
      </c>
      <c r="L68" s="103" t="e">
        <f t="shared" si="10"/>
        <v>#DIV/0!</v>
      </c>
      <c r="M68" s="208"/>
      <c r="N68" s="219"/>
      <c r="O68" s="155">
        <f t="shared" si="4"/>
        <v>0</v>
      </c>
      <c r="P68" s="152">
        <f t="shared" si="45"/>
        <v>0</v>
      </c>
      <c r="Q68" s="65" t="e">
        <f t="shared" si="12"/>
        <v>#DIV/0!</v>
      </c>
      <c r="R68" s="191">
        <f t="shared" ref="R68:R83" si="46">O68/3</f>
        <v>0</v>
      </c>
      <c r="S68" s="32"/>
    </row>
    <row r="69" spans="1:19" x14ac:dyDescent="0.2">
      <c r="A69" s="199" t="s">
        <v>58</v>
      </c>
      <c r="B69" s="131" t="s">
        <v>26</v>
      </c>
      <c r="C69" s="45"/>
      <c r="D69" s="89"/>
      <c r="E69" s="84"/>
      <c r="F69" s="79" t="e">
        <f t="shared" si="23"/>
        <v>#DIV/0!</v>
      </c>
      <c r="G69" s="69">
        <v>0</v>
      </c>
      <c r="H69" s="67" t="e">
        <f t="shared" si="8"/>
        <v>#DIV/0!</v>
      </c>
      <c r="I69" s="70"/>
      <c r="J69" s="38"/>
      <c r="K69" s="94" t="e">
        <f t="shared" si="9"/>
        <v>#NUM!</v>
      </c>
      <c r="L69" s="95" t="e">
        <f t="shared" si="10"/>
        <v>#DIV/0!</v>
      </c>
      <c r="M69" s="206" t="e">
        <f t="shared" ref="M69:N69" si="47">1-((1-K69)*(1-K70)*(1-K71))</f>
        <v>#NUM!</v>
      </c>
      <c r="N69" s="217" t="e">
        <f t="shared" si="47"/>
        <v>#DIV/0!</v>
      </c>
      <c r="O69" s="67">
        <f t="shared" si="4"/>
        <v>0</v>
      </c>
      <c r="P69" s="67">
        <f>(C69*20)/100</f>
        <v>0</v>
      </c>
      <c r="Q69" s="59"/>
      <c r="R69" s="189">
        <f t="shared" si="46"/>
        <v>0</v>
      </c>
      <c r="S69" s="34"/>
    </row>
    <row r="70" spans="1:19" x14ac:dyDescent="0.2">
      <c r="A70" s="200"/>
      <c r="B70" s="116" t="s">
        <v>30</v>
      </c>
      <c r="C70" s="46"/>
      <c r="D70" s="90"/>
      <c r="E70" s="85"/>
      <c r="F70" s="80" t="e">
        <f t="shared" ref="F70:F80" si="48">E70/D70</f>
        <v>#DIV/0!</v>
      </c>
      <c r="G70" s="71">
        <v>0</v>
      </c>
      <c r="H70" s="60" t="e">
        <f t="shared" ref="H70:H83" si="49">F70-G70-1.65</f>
        <v>#DIV/0!</v>
      </c>
      <c r="I70" s="72"/>
      <c r="J70" s="39"/>
      <c r="K70" s="96" t="e">
        <f t="shared" ref="K70:K80" si="50">1-(NORMDIST(J70,0,1,TRUE)-NORMDIST(-J70,0,1,TRUE))^I70</f>
        <v>#NUM!</v>
      </c>
      <c r="L70" s="97" t="e">
        <f t="shared" ref="L70:L80" si="51">1-(NORMDIST(J70,H70,1,TRUE)-NORMDIST(-J70,H70,1,TRUE))^I70</f>
        <v>#DIV/0!</v>
      </c>
      <c r="M70" s="207"/>
      <c r="N70" s="218"/>
      <c r="O70" s="60">
        <f t="shared" si="4"/>
        <v>0</v>
      </c>
      <c r="P70" s="62">
        <f t="shared" ref="P70" si="52">(C70*20)/100</f>
        <v>0</v>
      </c>
      <c r="Q70" s="61"/>
      <c r="R70" s="190">
        <f t="shared" si="46"/>
        <v>0</v>
      </c>
      <c r="S70" s="126"/>
    </row>
    <row r="71" spans="1:19" ht="13.5" thickBot="1" x14ac:dyDescent="0.25">
      <c r="A71" s="201"/>
      <c r="B71" s="128" t="s">
        <v>27</v>
      </c>
      <c r="C71" s="47"/>
      <c r="D71" s="91"/>
      <c r="E71" s="86"/>
      <c r="F71" s="81" t="e">
        <f t="shared" si="48"/>
        <v>#DIV/0!</v>
      </c>
      <c r="G71" s="73">
        <v>0</v>
      </c>
      <c r="H71" s="68" t="e">
        <f t="shared" si="49"/>
        <v>#DIV/0!</v>
      </c>
      <c r="I71" s="74"/>
      <c r="J71" s="40"/>
      <c r="K71" s="98" t="e">
        <f t="shared" si="50"/>
        <v>#NUM!</v>
      </c>
      <c r="L71" s="99" t="e">
        <f t="shared" si="51"/>
        <v>#DIV/0!</v>
      </c>
      <c r="M71" s="208"/>
      <c r="N71" s="219"/>
      <c r="O71" s="68">
        <f t="shared" si="4"/>
        <v>0</v>
      </c>
      <c r="P71" s="153">
        <f>(C71*35)/100</f>
        <v>0</v>
      </c>
      <c r="Q71" s="63"/>
      <c r="R71" s="192">
        <f t="shared" si="46"/>
        <v>0</v>
      </c>
      <c r="S71" s="132"/>
    </row>
    <row r="72" spans="1:19" x14ac:dyDescent="0.2">
      <c r="A72" s="202" t="s">
        <v>59</v>
      </c>
      <c r="B72" s="124" t="s">
        <v>26</v>
      </c>
      <c r="C72" s="48"/>
      <c r="D72" s="92"/>
      <c r="E72" s="88"/>
      <c r="F72" s="83" t="e">
        <f t="shared" si="48"/>
        <v>#DIV/0!</v>
      </c>
      <c r="G72" s="75">
        <v>0</v>
      </c>
      <c r="H72" s="62" t="e">
        <f t="shared" si="49"/>
        <v>#DIV/0!</v>
      </c>
      <c r="I72" s="76"/>
      <c r="J72" s="41"/>
      <c r="K72" s="100" t="e">
        <f t="shared" si="50"/>
        <v>#NUM!</v>
      </c>
      <c r="L72" s="101" t="e">
        <f t="shared" si="51"/>
        <v>#DIV/0!</v>
      </c>
      <c r="M72" s="206" t="e">
        <f t="shared" ref="M72:N72" si="53">1-((1-K72)*(1-K73)*(1-K74))</f>
        <v>#NUM!</v>
      </c>
      <c r="N72" s="217" t="e">
        <f t="shared" si="53"/>
        <v>#DIV/0!</v>
      </c>
      <c r="O72" s="62">
        <f t="shared" si="4"/>
        <v>0</v>
      </c>
      <c r="P72" s="62">
        <f>(C72*30)/100</f>
        <v>0</v>
      </c>
      <c r="Q72" s="64"/>
      <c r="R72" s="193">
        <f t="shared" si="46"/>
        <v>0</v>
      </c>
      <c r="S72" s="130"/>
    </row>
    <row r="73" spans="1:19" x14ac:dyDescent="0.2">
      <c r="A73" s="200"/>
      <c r="B73" s="116" t="s">
        <v>30</v>
      </c>
      <c r="C73" s="46"/>
      <c r="D73" s="90"/>
      <c r="E73" s="85"/>
      <c r="F73" s="80" t="e">
        <f t="shared" si="48"/>
        <v>#DIV/0!</v>
      </c>
      <c r="G73" s="71">
        <v>0</v>
      </c>
      <c r="H73" s="60" t="e">
        <f t="shared" si="49"/>
        <v>#DIV/0!</v>
      </c>
      <c r="I73" s="72"/>
      <c r="J73" s="39"/>
      <c r="K73" s="96" t="e">
        <f t="shared" si="50"/>
        <v>#NUM!</v>
      </c>
      <c r="L73" s="97" t="e">
        <f t="shared" si="51"/>
        <v>#DIV/0!</v>
      </c>
      <c r="M73" s="207"/>
      <c r="N73" s="218"/>
      <c r="O73" s="60">
        <f t="shared" si="4"/>
        <v>0</v>
      </c>
      <c r="P73" s="62">
        <f t="shared" ref="P73" si="54">(C73*30)/100</f>
        <v>0</v>
      </c>
      <c r="Q73" s="61"/>
      <c r="R73" s="190">
        <f t="shared" si="46"/>
        <v>0</v>
      </c>
      <c r="S73" s="126"/>
    </row>
    <row r="74" spans="1:19" ht="13.5" thickBot="1" x14ac:dyDescent="0.25">
      <c r="A74" s="203"/>
      <c r="B74" s="129" t="s">
        <v>27</v>
      </c>
      <c r="C74" s="49"/>
      <c r="D74" s="93"/>
      <c r="E74" s="87"/>
      <c r="F74" s="82" t="e">
        <f t="shared" si="48"/>
        <v>#DIV/0!</v>
      </c>
      <c r="G74" s="77">
        <v>0</v>
      </c>
      <c r="H74" s="66" t="e">
        <f t="shared" si="49"/>
        <v>#DIV/0!</v>
      </c>
      <c r="I74" s="78"/>
      <c r="J74" s="42"/>
      <c r="K74" s="102" t="e">
        <f t="shared" si="50"/>
        <v>#NUM!</v>
      </c>
      <c r="L74" s="103" t="e">
        <f t="shared" si="51"/>
        <v>#DIV/0!</v>
      </c>
      <c r="M74" s="208"/>
      <c r="N74" s="219"/>
      <c r="O74" s="66">
        <f t="shared" si="4"/>
        <v>0</v>
      </c>
      <c r="P74" s="152">
        <f>(C74*25)/100</f>
        <v>0</v>
      </c>
      <c r="Q74" s="65"/>
      <c r="R74" s="191">
        <f t="shared" si="46"/>
        <v>0</v>
      </c>
      <c r="S74" s="32"/>
    </row>
    <row r="75" spans="1:19" x14ac:dyDescent="0.2">
      <c r="A75" s="199" t="s">
        <v>60</v>
      </c>
      <c r="B75" s="131" t="s">
        <v>26</v>
      </c>
      <c r="C75" s="45"/>
      <c r="D75" s="89"/>
      <c r="E75" s="84"/>
      <c r="F75" s="79" t="e">
        <f t="shared" si="48"/>
        <v>#DIV/0!</v>
      </c>
      <c r="G75" s="69">
        <v>0</v>
      </c>
      <c r="H75" s="67" t="e">
        <f t="shared" si="49"/>
        <v>#DIV/0!</v>
      </c>
      <c r="I75" s="70"/>
      <c r="J75" s="38"/>
      <c r="K75" s="94" t="e">
        <f t="shared" si="50"/>
        <v>#NUM!</v>
      </c>
      <c r="L75" s="95" t="e">
        <f t="shared" si="51"/>
        <v>#DIV/0!</v>
      </c>
      <c r="M75" s="206" t="e">
        <f t="shared" ref="M75:N75" si="55">1-((1-K75)*(1-K76)*(1-K77))</f>
        <v>#NUM!</v>
      </c>
      <c r="N75" s="217" t="e">
        <f t="shared" si="55"/>
        <v>#DIV/0!</v>
      </c>
      <c r="O75" s="67">
        <f t="shared" si="4"/>
        <v>0</v>
      </c>
      <c r="P75" s="67">
        <f>(C75*30)/100</f>
        <v>0</v>
      </c>
      <c r="Q75" s="59"/>
      <c r="R75" s="189">
        <f t="shared" si="46"/>
        <v>0</v>
      </c>
      <c r="S75" s="133"/>
    </row>
    <row r="76" spans="1:19" x14ac:dyDescent="0.2">
      <c r="A76" s="200"/>
      <c r="B76" s="116" t="s">
        <v>30</v>
      </c>
      <c r="C76" s="46"/>
      <c r="D76" s="90"/>
      <c r="E76" s="85"/>
      <c r="F76" s="80" t="e">
        <f t="shared" si="48"/>
        <v>#DIV/0!</v>
      </c>
      <c r="G76" s="71">
        <v>0</v>
      </c>
      <c r="H76" s="60" t="e">
        <f t="shared" si="49"/>
        <v>#DIV/0!</v>
      </c>
      <c r="I76" s="72"/>
      <c r="J76" s="39"/>
      <c r="K76" s="96" t="e">
        <f t="shared" si="50"/>
        <v>#NUM!</v>
      </c>
      <c r="L76" s="97" t="e">
        <f t="shared" si="51"/>
        <v>#DIV/0!</v>
      </c>
      <c r="M76" s="207"/>
      <c r="N76" s="218"/>
      <c r="O76" s="60">
        <f t="shared" si="4"/>
        <v>0</v>
      </c>
      <c r="P76" s="62">
        <f t="shared" ref="P76" si="56">(C76*30)/100</f>
        <v>0</v>
      </c>
      <c r="Q76" s="61"/>
      <c r="R76" s="190">
        <f t="shared" si="46"/>
        <v>0</v>
      </c>
      <c r="S76" s="126"/>
    </row>
    <row r="77" spans="1:19" ht="13.5" thickBot="1" x14ac:dyDescent="0.25">
      <c r="A77" s="201"/>
      <c r="B77" s="128" t="s">
        <v>27</v>
      </c>
      <c r="C77" s="47"/>
      <c r="D77" s="91"/>
      <c r="E77" s="86"/>
      <c r="F77" s="81" t="e">
        <f t="shared" si="48"/>
        <v>#DIV/0!</v>
      </c>
      <c r="G77" s="73">
        <v>0</v>
      </c>
      <c r="H77" s="68" t="e">
        <f t="shared" si="49"/>
        <v>#DIV/0!</v>
      </c>
      <c r="I77" s="74"/>
      <c r="J77" s="40"/>
      <c r="K77" s="98" t="e">
        <f t="shared" si="50"/>
        <v>#NUM!</v>
      </c>
      <c r="L77" s="99" t="e">
        <f t="shared" si="51"/>
        <v>#DIV/0!</v>
      </c>
      <c r="M77" s="208"/>
      <c r="N77" s="219"/>
      <c r="O77" s="68">
        <f t="shared" si="4"/>
        <v>0</v>
      </c>
      <c r="P77" s="153">
        <f>(C77*25)/100</f>
        <v>0</v>
      </c>
      <c r="Q77" s="63"/>
      <c r="R77" s="192">
        <f t="shared" si="46"/>
        <v>0</v>
      </c>
      <c r="S77" s="132"/>
    </row>
    <row r="78" spans="1:19" x14ac:dyDescent="0.2">
      <c r="A78" s="202" t="s">
        <v>61</v>
      </c>
      <c r="B78" s="124" t="s">
        <v>26</v>
      </c>
      <c r="C78" s="48"/>
      <c r="D78" s="92"/>
      <c r="E78" s="88"/>
      <c r="F78" s="83" t="e">
        <f t="shared" si="48"/>
        <v>#DIV/0!</v>
      </c>
      <c r="G78" s="75">
        <v>0</v>
      </c>
      <c r="H78" s="62" t="e">
        <f t="shared" si="49"/>
        <v>#DIV/0!</v>
      </c>
      <c r="I78" s="76"/>
      <c r="J78" s="41"/>
      <c r="K78" s="100" t="e">
        <f t="shared" si="50"/>
        <v>#NUM!</v>
      </c>
      <c r="L78" s="101" t="e">
        <f t="shared" si="51"/>
        <v>#DIV/0!</v>
      </c>
      <c r="M78" s="206" t="e">
        <f t="shared" ref="M78:N78" si="57">1-((1-K78)*(1-K79)*(1-K80))</f>
        <v>#NUM!</v>
      </c>
      <c r="N78" s="217" t="e">
        <f t="shared" si="57"/>
        <v>#DIV/0!</v>
      </c>
      <c r="O78" s="62">
        <f t="shared" si="4"/>
        <v>0</v>
      </c>
      <c r="P78" s="62">
        <f t="shared" ref="P78:P80" si="58">(C78*10)/100</f>
        <v>0</v>
      </c>
      <c r="Q78" s="64"/>
      <c r="R78" s="193">
        <f t="shared" si="46"/>
        <v>0</v>
      </c>
      <c r="S78" s="44"/>
    </row>
    <row r="79" spans="1:19" x14ac:dyDescent="0.2">
      <c r="A79" s="200"/>
      <c r="B79" s="116" t="s">
        <v>30</v>
      </c>
      <c r="C79" s="46"/>
      <c r="D79" s="90"/>
      <c r="E79" s="85"/>
      <c r="F79" s="80" t="e">
        <f t="shared" si="48"/>
        <v>#DIV/0!</v>
      </c>
      <c r="G79" s="71">
        <v>0</v>
      </c>
      <c r="H79" s="60" t="e">
        <f t="shared" si="49"/>
        <v>#DIV/0!</v>
      </c>
      <c r="I79" s="72"/>
      <c r="J79" s="39"/>
      <c r="K79" s="96" t="e">
        <f t="shared" si="50"/>
        <v>#NUM!</v>
      </c>
      <c r="L79" s="97" t="e">
        <f t="shared" si="51"/>
        <v>#DIV/0!</v>
      </c>
      <c r="M79" s="207"/>
      <c r="N79" s="218"/>
      <c r="O79" s="60">
        <f t="shared" si="4"/>
        <v>0</v>
      </c>
      <c r="P79" s="62">
        <f t="shared" si="58"/>
        <v>0</v>
      </c>
      <c r="Q79" s="61"/>
      <c r="R79" s="190">
        <f t="shared" si="46"/>
        <v>0</v>
      </c>
      <c r="S79" s="44"/>
    </row>
    <row r="80" spans="1:19" ht="13.5" thickBot="1" x14ac:dyDescent="0.25">
      <c r="A80" s="203"/>
      <c r="B80" s="129" t="s">
        <v>27</v>
      </c>
      <c r="C80" s="49"/>
      <c r="D80" s="93"/>
      <c r="E80" s="87"/>
      <c r="F80" s="82" t="e">
        <f t="shared" si="48"/>
        <v>#DIV/0!</v>
      </c>
      <c r="G80" s="77">
        <v>0</v>
      </c>
      <c r="H80" s="66" t="e">
        <f t="shared" si="49"/>
        <v>#DIV/0!</v>
      </c>
      <c r="I80" s="78"/>
      <c r="J80" s="42"/>
      <c r="K80" s="102" t="e">
        <f t="shared" si="50"/>
        <v>#NUM!</v>
      </c>
      <c r="L80" s="103" t="e">
        <f t="shared" si="51"/>
        <v>#DIV/0!</v>
      </c>
      <c r="M80" s="208"/>
      <c r="N80" s="219"/>
      <c r="O80" s="66">
        <f t="shared" si="4"/>
        <v>0</v>
      </c>
      <c r="P80" s="152">
        <f t="shared" si="58"/>
        <v>0</v>
      </c>
      <c r="Q80" s="65"/>
      <c r="R80" s="191">
        <f t="shared" si="46"/>
        <v>0</v>
      </c>
      <c r="S80" s="44"/>
    </row>
    <row r="81" spans="1:20" x14ac:dyDescent="0.2">
      <c r="A81" s="194" t="s">
        <v>31</v>
      </c>
      <c r="B81" s="131" t="s">
        <v>26</v>
      </c>
      <c r="C81" s="45"/>
      <c r="D81" s="89"/>
      <c r="E81" s="84"/>
      <c r="F81" s="79" t="e">
        <f t="shared" si="0"/>
        <v>#DIV/0!</v>
      </c>
      <c r="G81" s="69">
        <v>0</v>
      </c>
      <c r="H81" s="67" t="e">
        <f t="shared" si="49"/>
        <v>#DIV/0!</v>
      </c>
      <c r="I81" s="70"/>
      <c r="J81" s="38"/>
      <c r="K81" s="94" t="e">
        <f t="shared" si="2"/>
        <v>#NUM!</v>
      </c>
      <c r="L81" s="95" t="e">
        <f t="shared" si="3"/>
        <v>#DIV/0!</v>
      </c>
      <c r="M81" s="206" t="e">
        <f t="shared" ref="M81:N81" si="59">1-((1-K81)*(1-K82)*(1-K83))</f>
        <v>#NUM!</v>
      </c>
      <c r="N81" s="217" t="e">
        <f t="shared" si="59"/>
        <v>#DIV/0!</v>
      </c>
      <c r="O81" s="67">
        <f t="shared" si="4"/>
        <v>0</v>
      </c>
      <c r="P81" s="67">
        <f>(C81*10)/100</f>
        <v>0</v>
      </c>
      <c r="Q81" s="59" t="e">
        <f t="shared" si="6"/>
        <v>#DIV/0!</v>
      </c>
      <c r="R81" s="189">
        <f t="shared" si="46"/>
        <v>0</v>
      </c>
      <c r="S81" s="133"/>
    </row>
    <row r="82" spans="1:20" x14ac:dyDescent="0.2">
      <c r="A82" s="195"/>
      <c r="B82" s="116" t="s">
        <v>30</v>
      </c>
      <c r="C82" s="46"/>
      <c r="D82" s="90"/>
      <c r="E82" s="85"/>
      <c r="F82" s="80" t="e">
        <f t="shared" si="0"/>
        <v>#DIV/0!</v>
      </c>
      <c r="G82" s="71">
        <v>0</v>
      </c>
      <c r="H82" s="60" t="e">
        <f t="shared" si="49"/>
        <v>#DIV/0!</v>
      </c>
      <c r="I82" s="72"/>
      <c r="J82" s="39"/>
      <c r="K82" s="96" t="e">
        <f t="shared" si="2"/>
        <v>#NUM!</v>
      </c>
      <c r="L82" s="97" t="e">
        <f t="shared" si="3"/>
        <v>#DIV/0!</v>
      </c>
      <c r="M82" s="207"/>
      <c r="N82" s="218"/>
      <c r="O82" s="60">
        <f t="shared" si="4"/>
        <v>0</v>
      </c>
      <c r="P82" s="62">
        <f>(C82*6.5)/100</f>
        <v>0</v>
      </c>
      <c r="Q82" s="61" t="e">
        <f t="shared" si="6"/>
        <v>#DIV/0!</v>
      </c>
      <c r="R82" s="190">
        <f t="shared" si="46"/>
        <v>0</v>
      </c>
      <c r="S82" s="30"/>
    </row>
    <row r="83" spans="1:20" ht="13.5" thickBot="1" x14ac:dyDescent="0.25">
      <c r="A83" s="196"/>
      <c r="B83" s="128" t="s">
        <v>27</v>
      </c>
      <c r="C83" s="47"/>
      <c r="D83" s="91"/>
      <c r="E83" s="86"/>
      <c r="F83" s="81" t="e">
        <f t="shared" si="0"/>
        <v>#DIV/0!</v>
      </c>
      <c r="G83" s="73">
        <v>0</v>
      </c>
      <c r="H83" s="68" t="e">
        <f t="shared" si="49"/>
        <v>#DIV/0!</v>
      </c>
      <c r="I83" s="74"/>
      <c r="J83" s="40"/>
      <c r="K83" s="98" t="e">
        <f t="shared" si="2"/>
        <v>#NUM!</v>
      </c>
      <c r="L83" s="99" t="e">
        <f t="shared" si="3"/>
        <v>#DIV/0!</v>
      </c>
      <c r="M83" s="208"/>
      <c r="N83" s="219"/>
      <c r="O83" s="68">
        <f t="shared" si="4"/>
        <v>0</v>
      </c>
      <c r="P83" s="153">
        <f>(C83*6.5)/100</f>
        <v>0</v>
      </c>
      <c r="Q83" s="63" t="e">
        <f t="shared" si="6"/>
        <v>#DIV/0!</v>
      </c>
      <c r="R83" s="192">
        <f t="shared" si="46"/>
        <v>0</v>
      </c>
      <c r="S83" s="36"/>
    </row>
    <row r="85" spans="1:20" x14ac:dyDescent="0.2">
      <c r="T85" t="s">
        <v>35</v>
      </c>
    </row>
    <row r="86" spans="1:20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spans="1:20" x14ac:dyDescent="0.2">
      <c r="A87" s="21" t="s">
        <v>11</v>
      </c>
      <c r="B87" s="10"/>
      <c r="C87" s="11"/>
      <c r="D87" s="11"/>
      <c r="E87" s="14"/>
      <c r="F87" s="22"/>
      <c r="G87" s="11"/>
      <c r="H87" s="13"/>
      <c r="I87" s="11"/>
      <c r="J87" s="11"/>
      <c r="K87" s="12"/>
      <c r="L87" s="12"/>
      <c r="M87" s="12"/>
      <c r="N87" s="12"/>
      <c r="O87" s="13"/>
      <c r="P87" s="13"/>
      <c r="Q87" s="11"/>
      <c r="R87" s="11"/>
      <c r="S87" s="13"/>
    </row>
    <row r="88" spans="1:20" x14ac:dyDescent="0.2">
      <c r="A88" s="21" t="s">
        <v>68</v>
      </c>
      <c r="B88" s="10"/>
      <c r="C88" s="11"/>
      <c r="D88" s="11"/>
      <c r="E88" s="23"/>
      <c r="F88" s="22"/>
      <c r="G88" s="11"/>
      <c r="H88" s="22"/>
      <c r="I88" s="11"/>
      <c r="J88" s="11"/>
      <c r="K88" s="12"/>
      <c r="L88" s="12"/>
      <c r="M88" s="12"/>
      <c r="N88" s="12"/>
      <c r="O88" s="13"/>
      <c r="P88" s="13"/>
      <c r="Q88" s="11"/>
      <c r="R88" s="11"/>
      <c r="S88" s="5"/>
    </row>
    <row r="89" spans="1:20" x14ac:dyDescent="0.2">
      <c r="A89" s="24"/>
      <c r="B89" s="10"/>
      <c r="C89" s="11"/>
      <c r="D89" s="11"/>
      <c r="E89" s="14"/>
      <c r="F89" s="22"/>
      <c r="G89" s="11"/>
      <c r="H89" s="13"/>
      <c r="I89" s="11"/>
      <c r="J89" s="5"/>
      <c r="K89" s="13"/>
      <c r="L89" s="13"/>
      <c r="M89" s="13"/>
      <c r="N89" s="13"/>
      <c r="O89" s="13"/>
      <c r="P89" s="13"/>
      <c r="Q89" s="5"/>
      <c r="R89" s="5"/>
      <c r="S89" s="13"/>
    </row>
    <row r="90" spans="1:20" ht="15" x14ac:dyDescent="0.2">
      <c r="A90" s="27" t="s">
        <v>12</v>
      </c>
      <c r="B90" s="28" t="s">
        <v>8</v>
      </c>
      <c r="C90" s="26" t="s">
        <v>36</v>
      </c>
      <c r="D90" s="11"/>
      <c r="E90" s="14"/>
      <c r="F90" s="22"/>
      <c r="G90" s="11"/>
      <c r="H90" s="13"/>
      <c r="I90" s="11"/>
      <c r="J90" s="11"/>
      <c r="K90" s="12"/>
      <c r="L90" s="12"/>
      <c r="M90" s="12"/>
      <c r="N90" s="12"/>
      <c r="O90" s="13"/>
      <c r="P90" s="13"/>
      <c r="Q90" s="11"/>
      <c r="R90" s="11"/>
      <c r="S90" s="5"/>
    </row>
    <row r="91" spans="1:20" x14ac:dyDescent="0.2">
      <c r="A91" s="5"/>
      <c r="B91" s="29" t="s">
        <v>33</v>
      </c>
      <c r="C91" s="5"/>
      <c r="D91" s="5"/>
      <c r="E91" s="5"/>
      <c r="F91" s="5"/>
      <c r="G91" s="5"/>
      <c r="H91" s="5"/>
      <c r="I91" s="5"/>
      <c r="J91" s="5"/>
      <c r="K91" s="5"/>
      <c r="L91" s="12"/>
      <c r="M91" s="12"/>
      <c r="N91" s="13"/>
      <c r="O91" s="5"/>
      <c r="P91" s="15"/>
      <c r="Q91" s="15"/>
      <c r="R91" s="15"/>
      <c r="S91" s="13"/>
    </row>
    <row r="92" spans="1:20" x14ac:dyDescent="0.2">
      <c r="A92" s="13"/>
      <c r="B92" s="25" t="s">
        <v>16</v>
      </c>
      <c r="C92" s="26"/>
      <c r="D92" s="14"/>
      <c r="E92" s="12"/>
      <c r="F92" s="12"/>
      <c r="G92" s="12"/>
      <c r="H92" s="13"/>
      <c r="I92" s="13"/>
      <c r="J92" s="12"/>
      <c r="K92" s="12"/>
      <c r="L92" s="12"/>
      <c r="M92" s="12"/>
      <c r="N92" s="13"/>
      <c r="O92" s="13"/>
      <c r="P92" s="13"/>
      <c r="Q92" s="13"/>
      <c r="R92" s="13"/>
      <c r="S92" s="13"/>
    </row>
    <row r="93" spans="1:20" x14ac:dyDescent="0.2">
      <c r="A93" s="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12"/>
      <c r="N93" s="13"/>
      <c r="O93" s="13"/>
      <c r="P93" s="13"/>
      <c r="Q93" s="13"/>
      <c r="R93" s="13"/>
      <c r="S93" s="13"/>
    </row>
    <row r="95" spans="1:20" x14ac:dyDescent="0.2">
      <c r="A95" s="43" t="s">
        <v>37</v>
      </c>
      <c r="B95" s="43" t="s">
        <v>38</v>
      </c>
    </row>
    <row r="96" spans="1:20" x14ac:dyDescent="0.2">
      <c r="A96" s="43" t="s">
        <v>7</v>
      </c>
      <c r="B96" s="43" t="s">
        <v>39</v>
      </c>
    </row>
    <row r="97" spans="1:2" x14ac:dyDescent="0.2">
      <c r="A97" s="43" t="s">
        <v>40</v>
      </c>
      <c r="B97" s="43" t="s">
        <v>69</v>
      </c>
    </row>
    <row r="98" spans="1:2" x14ac:dyDescent="0.2">
      <c r="A98" s="43" t="s">
        <v>41</v>
      </c>
      <c r="B98" s="43" t="s">
        <v>42</v>
      </c>
    </row>
    <row r="100" spans="1:2" x14ac:dyDescent="0.2">
      <c r="A100" s="163"/>
    </row>
    <row r="101" spans="1:2" x14ac:dyDescent="0.2">
      <c r="A101" s="163">
        <v>45427</v>
      </c>
      <c r="B101" t="s">
        <v>65</v>
      </c>
    </row>
    <row r="102" spans="1:2" x14ac:dyDescent="0.2">
      <c r="A102" t="s">
        <v>70</v>
      </c>
      <c r="B102" t="s">
        <v>71</v>
      </c>
    </row>
  </sheetData>
  <mergeCells count="81">
    <mergeCell ref="N78:N80"/>
    <mergeCell ref="N81:N83"/>
    <mergeCell ref="N63:N65"/>
    <mergeCell ref="N66:N68"/>
    <mergeCell ref="N69:N71"/>
    <mergeCell ref="N72:N74"/>
    <mergeCell ref="N75:N77"/>
    <mergeCell ref="N48:N50"/>
    <mergeCell ref="N51:N53"/>
    <mergeCell ref="N54:N56"/>
    <mergeCell ref="N57:N59"/>
    <mergeCell ref="N60:N62"/>
    <mergeCell ref="M78:M80"/>
    <mergeCell ref="M81:M83"/>
    <mergeCell ref="N6:N8"/>
    <mergeCell ref="N9:N11"/>
    <mergeCell ref="N12:N14"/>
    <mergeCell ref="N15:N17"/>
    <mergeCell ref="N18:N20"/>
    <mergeCell ref="N21:N23"/>
    <mergeCell ref="N24:N26"/>
    <mergeCell ref="N27:N29"/>
    <mergeCell ref="N30:N32"/>
    <mergeCell ref="N33:N35"/>
    <mergeCell ref="N36:N38"/>
    <mergeCell ref="N39:N41"/>
    <mergeCell ref="N42:N44"/>
    <mergeCell ref="N45:N47"/>
    <mergeCell ref="M63:M65"/>
    <mergeCell ref="M66:M68"/>
    <mergeCell ref="M69:M71"/>
    <mergeCell ref="M72:M74"/>
    <mergeCell ref="M75:M77"/>
    <mergeCell ref="M48:M50"/>
    <mergeCell ref="M51:M53"/>
    <mergeCell ref="M54:M56"/>
    <mergeCell ref="M57:M59"/>
    <mergeCell ref="M60:M62"/>
    <mergeCell ref="M33:M35"/>
    <mergeCell ref="M36:M38"/>
    <mergeCell ref="M39:M41"/>
    <mergeCell ref="M42:M44"/>
    <mergeCell ref="M45:M47"/>
    <mergeCell ref="M18:M20"/>
    <mergeCell ref="M21:M23"/>
    <mergeCell ref="M24:M26"/>
    <mergeCell ref="M27:M29"/>
    <mergeCell ref="M30:M32"/>
    <mergeCell ref="M6:M8"/>
    <mergeCell ref="M9:M11"/>
    <mergeCell ref="M12:M14"/>
    <mergeCell ref="M15:M17"/>
    <mergeCell ref="B2:F2"/>
    <mergeCell ref="A4:H4"/>
    <mergeCell ref="A6:A8"/>
    <mergeCell ref="A15:A17"/>
    <mergeCell ref="A81:A83"/>
    <mergeCell ref="A54:A56"/>
    <mergeCell ref="A45:A47"/>
    <mergeCell ref="A42:A44"/>
    <mergeCell ref="A66:A68"/>
    <mergeCell ref="A78:A80"/>
    <mergeCell ref="A36:A38"/>
    <mergeCell ref="A12:A14"/>
    <mergeCell ref="A9:A11"/>
    <mergeCell ref="A18:A20"/>
    <mergeCell ref="A1:A2"/>
    <mergeCell ref="A21:A23"/>
    <mergeCell ref="A24:A26"/>
    <mergeCell ref="A27:A29"/>
    <mergeCell ref="A30:A32"/>
    <mergeCell ref="A33:A35"/>
    <mergeCell ref="A39:A41"/>
    <mergeCell ref="A48:A50"/>
    <mergeCell ref="A69:A71"/>
    <mergeCell ref="A72:A74"/>
    <mergeCell ref="A75:A77"/>
    <mergeCell ref="A51:A53"/>
    <mergeCell ref="A57:A59"/>
    <mergeCell ref="A60:A62"/>
    <mergeCell ref="A63:A65"/>
  </mergeCells>
  <phoneticPr fontId="5" type="noConversion"/>
  <pageMargins left="0.75" right="0.75" top="1" bottom="1" header="0.5" footer="0.5"/>
  <pageSetup paperSize="8" orientation="landscape" r:id="rId1"/>
  <headerFooter alignWithMargins="0">
    <oddFooter>&amp;L_x000D_&amp;1#&amp;"Aptos"&amp;6&amp;K000000 Intern</oddFooter>
  </headerFooter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0</xdr:col>
                <xdr:colOff>142875</xdr:colOff>
                <xdr:row>0</xdr:row>
                <xdr:rowOff>57150</xdr:rowOff>
              </from>
              <to>
                <xdr:col>0</xdr:col>
                <xdr:colOff>447675</xdr:colOff>
                <xdr:row>1</xdr:row>
                <xdr:rowOff>114300</xdr:rowOff>
              </to>
            </anchor>
          </objectPr>
        </oleObject>
      </mc:Choice>
      <mc:Fallback>
        <oleObject progId="PBrush" shapeId="2049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f20dc9c-bd28-4e67-a6bd-1c38c2f098f9" xsi:nil="true"/>
    <lcf76f155ced4ddcb4097134ff3c332f xmlns="81463aad-5601-41bb-a4a2-cf09c34bed1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52A25976988A84E95181E0CFBEFFF81" ma:contentTypeVersion="16" ma:contentTypeDescription="Opprett et nytt dokument." ma:contentTypeScope="" ma:versionID="d751099b37f6d35fdcb01b226212a3a6">
  <xsd:schema xmlns:xsd="http://www.w3.org/2001/XMLSchema" xmlns:xs="http://www.w3.org/2001/XMLSchema" xmlns:p="http://schemas.microsoft.com/office/2006/metadata/properties" xmlns:ns1="http://schemas.microsoft.com/sharepoint/v3" xmlns:ns2="81463aad-5601-41bb-a4a2-cf09c34bed19" xmlns:ns3="5f20dc9c-bd28-4e67-a6bd-1c38c2f098f9" targetNamespace="http://schemas.microsoft.com/office/2006/metadata/properties" ma:root="true" ma:fieldsID="b25c047e9d1d84b7ccd86fb4f7f15eff" ns1:_="" ns2:_="" ns3:_="">
    <xsd:import namespace="http://schemas.microsoft.com/sharepoint/v3"/>
    <xsd:import namespace="81463aad-5601-41bb-a4a2-cf09c34bed19"/>
    <xsd:import namespace="5f20dc9c-bd28-4e67-a6bd-1c38c2f098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Egenskaper for samordnet samsvarspolicy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I-handling for samordnet samsvarspolicy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63aad-5601-41bb-a4a2-cf09c34bed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bb92639a-ee2f-4dc8-83f5-6dd8a25d9b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0dc9c-bd28-4e67-a6bd-1c38c2f098f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e94f69c-b760-4843-96c0-40871cc31b0d}" ma:internalName="TaxCatchAll" ma:showField="CatchAllData" ma:web="5f20dc9c-bd28-4e67-a6bd-1c38c2f098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12622F-1748-4804-8B9A-70C6A1DEB858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81463aad-5601-41bb-a4a2-cf09c34bed19"/>
    <ds:schemaRef ds:uri="http://purl.org/dc/dcmitype/"/>
    <ds:schemaRef ds:uri="http://schemas.microsoft.com/office/2006/metadata/properties"/>
    <ds:schemaRef ds:uri="http://schemas.openxmlformats.org/package/2006/metadata/core-properties"/>
    <ds:schemaRef ds:uri="5f20dc9c-bd28-4e67-a6bd-1c38c2f098f9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1308BDC-F43F-4D95-9A4F-9096FFC333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9285EA-3EAE-4534-ABB5-85998D63D9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1463aad-5601-41bb-a4a2-cf09c34bed19"/>
    <ds:schemaRef ds:uri="5f20dc9c-bd28-4e67-a6bd-1c38c2f098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Ver1.1</vt:lpstr>
    </vt:vector>
  </TitlesOfParts>
  <Company>Helse Midt-Norge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Rigmor Søvik</dc:creator>
  <cp:lastModifiedBy>Kilinckaya, Muhammed Fevzi</cp:lastModifiedBy>
  <cp:lastPrinted>2026-05-21T08:58:50Z</cp:lastPrinted>
  <dcterms:created xsi:type="dcterms:W3CDTF">2008-03-14T09:25:52Z</dcterms:created>
  <dcterms:modified xsi:type="dcterms:W3CDTF">2026-09-10T06:47:36Z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0x010100152A25976988A84E95181E0CFBEFFF81</vt:lpwstr>
  </property>
  <property fmtid="{D5CDD505-2E9C-101B-9397-08002B2CF9AE}" pid="3" name="MediaServiceImageTags">
    <vt:lpwstr/>
  </property>
  <property fmtid="{D5CDD505-2E9C-101B-9397-08002B2CF9AE}" pid="4" name="MSIP_Label_27c53dd1-6ec2-448f-b81e-3adee47fd651_Enabled">
    <vt:lpwstr>true</vt:lpwstr>
  </property>
  <property fmtid="{D5CDD505-2E9C-101B-9397-08002B2CF9AE}" pid="5" name="MSIP_Label_27c53dd1-6ec2-448f-b81e-3adee47fd651_SetDate">
    <vt:lpwstr>2026-05-21T12:08:52Z</vt:lpwstr>
  </property>
  <property fmtid="{D5CDD505-2E9C-101B-9397-08002B2CF9AE}" pid="6" name="MSIP_Label_27c53dd1-6ec2-448f-b81e-3adee47fd651_Method">
    <vt:lpwstr>Standard</vt:lpwstr>
  </property>
  <property fmtid="{D5CDD505-2E9C-101B-9397-08002B2CF9AE}" pid="7" name="MSIP_Label_27c53dd1-6ec2-448f-b81e-3adee47fd651_Name">
    <vt:lpwstr>Intern</vt:lpwstr>
  </property>
  <property fmtid="{D5CDD505-2E9C-101B-9397-08002B2CF9AE}" pid="8" name="MSIP_Label_27c53dd1-6ec2-448f-b81e-3adee47fd651_SiteId">
    <vt:lpwstr>92c8809f-91e0-445b-804f-b6a7b43ef73a</vt:lpwstr>
  </property>
  <property fmtid="{D5CDD505-2E9C-101B-9397-08002B2CF9AE}" pid="9" name="MSIP_Label_27c53dd1-6ec2-448f-b81e-3adee47fd651_ActionId">
    <vt:lpwstr>facc8d27-1930-4e4f-9440-8629a71efd4f</vt:lpwstr>
  </property>
  <property fmtid="{D5CDD505-2E9C-101B-9397-08002B2CF9AE}" pid="10" name="MSIP_Label_27c53dd1-6ec2-448f-b81e-3adee47fd651_ContentBits">
    <vt:lpwstr>2</vt:lpwstr>
  </property>
  <property fmtid="{D5CDD505-2E9C-101B-9397-08002B2CF9AE}" pid="11" name="MSIP_Label_27c53dd1-6ec2-448f-b81e-3adee47fd651_Tag">
    <vt:lpwstr>10, 3, 0, 1</vt:lpwstr>
  </property>
</Properties>
</file>